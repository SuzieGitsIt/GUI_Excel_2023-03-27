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Lumedica OCT Data Backup\"/>
    </mc:Choice>
  </mc:AlternateContent>
  <xr:revisionPtr revIDLastSave="0" documentId="8_{13A98FDD-AE3A-426D-BB19-DCAFA840D6C2}" xr6:coauthVersionLast="47" xr6:coauthVersionMax="47" xr10:uidLastSave="{00000000-0000-0000-0000-000000000000}"/>
  <bookViews>
    <workbookView xWindow="-120" yWindow="-120" windowWidth="29040" windowHeight="15840" activeTab="2" xr2:uid="{3296838D-1216-4580-80BA-CD8EFEC329CF}"/>
  </bookViews>
  <sheets>
    <sheet name="Raw Data" sheetId="1" r:id="rId1"/>
    <sheet name="Transformed Data" sheetId="2" r:id="rId2"/>
    <sheet name="Report" sheetId="4" r:id="rId3"/>
    <sheet name="Setting" sheetId="6" state="hidden" r:id="rId4"/>
    <sheet name="PASSFAIL" sheetId="5" r:id="rId5"/>
  </sheets>
  <definedNames>
    <definedName name="_1.0A">'Transformed Data'!$E$2:$E$201</definedName>
    <definedName name="_1.0B">'Transformed Data'!$F$2:$F$201</definedName>
    <definedName name="_4.5A">'Transformed Data'!$G$2:$G$201</definedName>
    <definedName name="_4.5B">'Transformed Data'!$H$2:$H$201</definedName>
    <definedName name="_4.5C">'Transformed Data'!$I$2:$I$201</definedName>
    <definedName name="AB_Value">MID(Folder,IFERROR(FIND("A",Folder),FIND("B",Folder)),1)</definedName>
    <definedName name="DataID">'Transformed Data'!$K$2:$K$201</definedName>
    <definedName name="DataTable">OFFSET('Transformed Data'!$A$1,0,0,COUNTA('Transformed Data'!$A:$A),COUNTA('Transformed Data'!$4:$4))</definedName>
    <definedName name="Date">'Transformed Data'!$A$2:$A$201</definedName>
    <definedName name="File_Name">'Transformed Data'!$D$2:$D$201</definedName>
    <definedName name="Folder">'Transformed Data'!$C$2</definedName>
    <definedName name="Folder_Name">'Transformed Data'!$C$2:$C$201</definedName>
    <definedName name="LenID">'Transformed Data'!$J$2:$J$201</definedName>
    <definedName name="LSL">Report!$O$5</definedName>
    <definedName name="MaxLen">MAX(LenID)</definedName>
    <definedName name="_xlnm.Print_Area" localSheetId="2">Report!$B$1:$O$51</definedName>
    <definedName name="Time">'Transformed Data'!$B$2:$B$201</definedName>
    <definedName name="UID">LenID&amp;DataID</definedName>
    <definedName name="USL">Report!$O$6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2" l="1"/>
  <c r="L6" i="2"/>
  <c r="L8" i="2"/>
  <c r="L10" i="2"/>
  <c r="L12" i="2"/>
  <c r="L14" i="2"/>
  <c r="L16" i="2"/>
  <c r="L18" i="2"/>
  <c r="L20" i="2"/>
  <c r="L22" i="2"/>
  <c r="L24" i="2"/>
  <c r="L26" i="2"/>
  <c r="L28" i="2"/>
  <c r="L30" i="2"/>
  <c r="L32" i="2"/>
  <c r="L34" i="2"/>
  <c r="L3" i="2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" i="2"/>
  <c r="N3" i="5"/>
  <c r="N2" i="5"/>
  <c r="N4" i="5" s="1" a="1"/>
  <c r="N4" i="5" s="1"/>
  <c r="F3" i="5"/>
  <c r="F5" i="4"/>
  <c r="Q21" i="4" s="1"/>
  <c r="F6" i="4"/>
  <c r="O7" i="4"/>
  <c r="F2" i="5"/>
  <c r="F4" i="5" s="1" a="1"/>
  <c r="F4" i="5" s="1"/>
  <c r="E24" i="4"/>
  <c r="G18" i="4"/>
  <c r="E20" i="4"/>
  <c r="G48" i="4"/>
  <c r="E34" i="4"/>
  <c r="C32" i="4"/>
  <c r="C33" i="4"/>
  <c r="G17" i="4"/>
  <c r="C12" i="4"/>
  <c r="D41" i="4"/>
  <c r="F25" i="4"/>
  <c r="E43" i="4"/>
  <c r="C13" i="4"/>
  <c r="G40" i="4"/>
  <c r="E46" i="4"/>
  <c r="F26" i="4"/>
  <c r="D16" i="4"/>
  <c r="F37" i="4"/>
  <c r="D18" i="4"/>
  <c r="E48" i="4"/>
  <c r="C11" i="4"/>
  <c r="C31" i="4"/>
  <c r="E40" i="4"/>
  <c r="E49" i="4"/>
  <c r="C38" i="4"/>
  <c r="E42" i="4"/>
  <c r="D37" i="4"/>
  <c r="E44" i="4"/>
  <c r="F29" i="4"/>
  <c r="E47" i="4"/>
  <c r="E17" i="4"/>
  <c r="G38" i="4"/>
  <c r="C23" i="4"/>
  <c r="D45" i="4"/>
  <c r="G39" i="4"/>
  <c r="D46" i="4"/>
  <c r="F23" i="4"/>
  <c r="D28" i="4"/>
  <c r="D49" i="4"/>
  <c r="D40" i="4"/>
  <c r="F22" i="4"/>
  <c r="C49" i="4"/>
  <c r="G45" i="4"/>
  <c r="D22" i="4"/>
  <c r="G46" i="4"/>
  <c r="D39" i="4"/>
  <c r="C15" i="4"/>
  <c r="F27" i="4"/>
  <c r="F46" i="4"/>
  <c r="G22" i="4"/>
  <c r="D42" i="4"/>
  <c r="C48" i="4"/>
  <c r="G26" i="4"/>
  <c r="G47" i="4"/>
  <c r="E16" i="4"/>
  <c r="G21" i="4"/>
  <c r="C26" i="4"/>
  <c r="D44" i="4"/>
  <c r="G35" i="4"/>
  <c r="C46" i="4"/>
  <c r="D32" i="4"/>
  <c r="F17" i="4"/>
  <c r="E39" i="4"/>
  <c r="C14" i="4"/>
  <c r="C44" i="4"/>
  <c r="C45" i="4"/>
  <c r="G33" i="4"/>
  <c r="C25" i="4"/>
  <c r="G13" i="4"/>
  <c r="J10" i="4"/>
  <c r="F39" i="4"/>
  <c r="F34" i="4"/>
  <c r="E38" i="4"/>
  <c r="C18" i="4"/>
  <c r="D20" i="4"/>
  <c r="E26" i="4"/>
  <c r="F48" i="4"/>
  <c r="D47" i="4"/>
  <c r="D12" i="4"/>
  <c r="E22" i="4"/>
  <c r="G43" i="4"/>
  <c r="E31" i="4"/>
  <c r="E19" i="4"/>
  <c r="G27" i="4"/>
  <c r="E14" i="4"/>
  <c r="F41" i="4"/>
  <c r="D36" i="4"/>
  <c r="D19" i="4"/>
  <c r="D29" i="4"/>
  <c r="F38" i="4"/>
  <c r="D14" i="4"/>
  <c r="E37" i="4"/>
  <c r="C43" i="4"/>
  <c r="F49" i="4"/>
  <c r="G20" i="4"/>
  <c r="E33" i="4"/>
  <c r="G29" i="4"/>
  <c r="G15" i="4"/>
  <c r="E25" i="4"/>
  <c r="C29" i="4"/>
  <c r="E36" i="4"/>
  <c r="C34" i="4"/>
  <c r="D35" i="4"/>
  <c r="G11" i="4"/>
  <c r="G12" i="4"/>
  <c r="D48" i="4"/>
  <c r="D25" i="4"/>
  <c r="C30" i="4"/>
  <c r="G16" i="4"/>
  <c r="C22" i="4"/>
  <c r="E21" i="4"/>
  <c r="E27" i="4"/>
  <c r="C21" i="4"/>
  <c r="D15" i="4"/>
  <c r="G31" i="4"/>
  <c r="C24" i="4"/>
  <c r="F32" i="4"/>
  <c r="C17" i="4"/>
  <c r="G49" i="4"/>
  <c r="E18" i="4"/>
  <c r="E45" i="4"/>
  <c r="C19" i="4"/>
  <c r="G36" i="4"/>
  <c r="D26" i="4"/>
  <c r="D17" i="4"/>
  <c r="F47" i="4"/>
  <c r="E41" i="4"/>
  <c r="G44" i="4"/>
  <c r="G25" i="4"/>
  <c r="E13" i="4"/>
  <c r="F15" i="4"/>
  <c r="E23" i="4"/>
  <c r="F11" i="4"/>
  <c r="C36" i="4"/>
  <c r="G14" i="4"/>
  <c r="G37" i="4"/>
  <c r="G42" i="4"/>
  <c r="F36" i="4"/>
  <c r="E28" i="4"/>
  <c r="E11" i="4"/>
  <c r="E15" i="4"/>
  <c r="C40" i="4"/>
  <c r="G30" i="4"/>
  <c r="D27" i="4"/>
  <c r="C37" i="4"/>
  <c r="F21" i="4"/>
  <c r="E32" i="4"/>
  <c r="C20" i="4"/>
  <c r="F30" i="4"/>
  <c r="D33" i="4"/>
  <c r="F19" i="4"/>
  <c r="G19" i="4"/>
  <c r="G32" i="4"/>
  <c r="C28" i="4"/>
  <c r="F40" i="4"/>
  <c r="F44" i="4"/>
  <c r="C27" i="4"/>
  <c r="F45" i="4"/>
  <c r="D24" i="4"/>
  <c r="E12" i="4"/>
  <c r="D11" i="4"/>
  <c r="G23" i="4"/>
  <c r="C47" i="4"/>
  <c r="C39" i="4"/>
  <c r="G24" i="4"/>
  <c r="E35" i="4"/>
  <c r="F28" i="4"/>
  <c r="F14" i="4"/>
  <c r="D34" i="4"/>
  <c r="F42" i="4"/>
  <c r="G28" i="4"/>
  <c r="F13" i="4"/>
  <c r="D31" i="4"/>
  <c r="C16" i="4"/>
  <c r="F18" i="4"/>
  <c r="F43" i="4"/>
  <c r="F35" i="4"/>
  <c r="C35" i="4"/>
  <c r="F12" i="4"/>
  <c r="F33" i="4"/>
  <c r="C42" i="4"/>
  <c r="F20" i="4"/>
  <c r="D23" i="4"/>
  <c r="D13" i="4"/>
  <c r="D43" i="4"/>
  <c r="F24" i="4"/>
  <c r="D38" i="4"/>
  <c r="G34" i="4"/>
  <c r="D30" i="4"/>
  <c r="F16" i="4"/>
  <c r="C41" i="4"/>
  <c r="G41" i="4"/>
  <c r="E29" i="4"/>
  <c r="E30" i="4"/>
  <c r="F31" i="4"/>
  <c r="D21" i="4"/>
  <c r="K47" i="5" l="1"/>
  <c r="F7" i="4" a="1"/>
  <c r="F7" i="4" s="1"/>
  <c r="O6" i="4" l="1"/>
  <c r="O5" i="4"/>
  <c r="C47" i="5" s="1"/>
  <c r="S27" i="4" l="1"/>
  <c r="T27" i="4"/>
  <c r="R27" i="4"/>
  <c r="V27" i="4"/>
  <c r="U27" i="4"/>
  <c r="V26" i="4"/>
  <c r="T26" i="4"/>
  <c r="S26" i="4"/>
  <c r="U26" i="4"/>
  <c r="R26" i="4"/>
  <c r="K41" i="4"/>
  <c r="N41" i="4"/>
  <c r="N40" i="4"/>
  <c r="J28" i="4"/>
  <c r="J37" i="4"/>
  <c r="K28" i="4"/>
  <c r="L19" i="4"/>
  <c r="L18" i="4"/>
  <c r="M35" i="4"/>
  <c r="M19" i="4"/>
  <c r="J23" i="4"/>
  <c r="L20" i="4"/>
  <c r="J13" i="4"/>
  <c r="N38" i="4"/>
  <c r="M15" i="4"/>
  <c r="N34" i="4"/>
  <c r="N39" i="4"/>
  <c r="M26" i="4"/>
  <c r="K25" i="4"/>
  <c r="K23" i="4"/>
  <c r="N42" i="4"/>
  <c r="J32" i="4"/>
  <c r="E10" i="4"/>
  <c r="K37" i="4"/>
  <c r="J34" i="4"/>
  <c r="M10" i="4"/>
  <c r="N22" i="4"/>
  <c r="K14" i="4"/>
  <c r="K18" i="4"/>
  <c r="L24" i="4"/>
  <c r="K16" i="4"/>
  <c r="M11" i="4"/>
  <c r="K10" i="4"/>
  <c r="M16" i="4"/>
  <c r="J41" i="4"/>
  <c r="N18" i="4"/>
  <c r="M36" i="4"/>
  <c r="M29" i="4"/>
  <c r="J39" i="4"/>
  <c r="J26" i="4"/>
  <c r="N27" i="4"/>
  <c r="M30" i="4"/>
  <c r="L37" i="4"/>
  <c r="K19" i="4"/>
  <c r="L23" i="4"/>
  <c r="N23" i="4"/>
  <c r="M12" i="4"/>
  <c r="K27" i="4"/>
  <c r="L17" i="4"/>
  <c r="J24" i="4"/>
  <c r="L12" i="4"/>
  <c r="L40" i="4"/>
  <c r="L42" i="4"/>
  <c r="M32" i="4"/>
  <c r="J27" i="4"/>
  <c r="L38" i="4"/>
  <c r="K26" i="4"/>
  <c r="L22" i="4"/>
  <c r="M38" i="4"/>
  <c r="N44" i="4"/>
  <c r="J22" i="4"/>
  <c r="K38" i="4"/>
  <c r="J43" i="4"/>
  <c r="N33" i="4"/>
  <c r="N30" i="4"/>
  <c r="J25" i="4"/>
  <c r="L44" i="4"/>
  <c r="M43" i="4"/>
  <c r="L35" i="4"/>
  <c r="L36" i="4"/>
  <c r="N13" i="4"/>
  <c r="K29" i="4"/>
  <c r="J31" i="4"/>
  <c r="L43" i="4"/>
  <c r="N36" i="4"/>
  <c r="J36" i="4"/>
  <c r="L28" i="4"/>
  <c r="K36" i="4"/>
  <c r="J29" i="4"/>
  <c r="N43" i="4"/>
  <c r="J15" i="4"/>
  <c r="L34" i="4"/>
  <c r="L14" i="4"/>
  <c r="L13" i="4"/>
  <c r="N17" i="4"/>
  <c r="N28" i="4"/>
  <c r="G10" i="4"/>
  <c r="M20" i="4"/>
  <c r="K15" i="4"/>
  <c r="M41" i="4"/>
  <c r="M31" i="4"/>
  <c r="N15" i="4"/>
  <c r="N25" i="4"/>
  <c r="L10" i="4"/>
  <c r="L16" i="4"/>
  <c r="K43" i="4"/>
  <c r="M28" i="4"/>
  <c r="L39" i="4"/>
  <c r="K30" i="4"/>
  <c r="M39" i="4"/>
  <c r="J44" i="4"/>
  <c r="J38" i="4"/>
  <c r="M33" i="4"/>
  <c r="M18" i="4"/>
  <c r="N19" i="4"/>
  <c r="N21" i="4"/>
  <c r="K24" i="4"/>
  <c r="K22" i="4"/>
  <c r="J12" i="4"/>
  <c r="J20" i="4"/>
  <c r="N32" i="4"/>
  <c r="K32" i="4"/>
  <c r="J16" i="4"/>
  <c r="K31" i="4"/>
  <c r="C10" i="4"/>
  <c r="K21" i="4"/>
  <c r="N24" i="4"/>
  <c r="F10" i="4"/>
  <c r="M13" i="4"/>
  <c r="M25" i="4"/>
  <c r="K33" i="4"/>
  <c r="L26" i="4"/>
  <c r="J18" i="4"/>
  <c r="L11" i="4"/>
  <c r="M37" i="4"/>
  <c r="J33" i="4"/>
  <c r="K11" i="4"/>
  <c r="M14" i="4"/>
  <c r="M24" i="4"/>
  <c r="N35" i="4"/>
  <c r="L30" i="4"/>
  <c r="L31" i="4"/>
  <c r="N31" i="4"/>
  <c r="M42" i="4"/>
  <c r="J30" i="4"/>
  <c r="K12" i="4"/>
  <c r="N29" i="4"/>
  <c r="L32" i="4"/>
  <c r="D10" i="4"/>
  <c r="L25" i="4"/>
  <c r="J42" i="4"/>
  <c r="L27" i="4"/>
  <c r="N37" i="4"/>
  <c r="K44" i="4"/>
  <c r="N20" i="4"/>
  <c r="J21" i="4"/>
  <c r="M44" i="4"/>
  <c r="J11" i="4"/>
  <c r="K40" i="4"/>
  <c r="K42" i="4"/>
  <c r="L15" i="4"/>
  <c r="N11" i="4"/>
  <c r="K35" i="4"/>
  <c r="M34" i="4"/>
  <c r="N10" i="4"/>
  <c r="J19" i="4"/>
  <c r="L29" i="4"/>
  <c r="L21" i="4"/>
  <c r="N26" i="4"/>
  <c r="N16" i="4"/>
  <c r="N14" i="4"/>
  <c r="J35" i="4"/>
  <c r="L41" i="4"/>
  <c r="M23" i="4"/>
  <c r="K17" i="4"/>
  <c r="K39" i="4"/>
  <c r="L33" i="4"/>
  <c r="N12" i="4"/>
  <c r="M40" i="4"/>
  <c r="M22" i="4"/>
  <c r="M27" i="4"/>
  <c r="K20" i="4"/>
  <c r="M17" i="4"/>
  <c r="J14" i="4"/>
  <c r="M21" i="4"/>
  <c r="K34" i="4"/>
  <c r="J40" i="4"/>
  <c r="J17" i="4"/>
  <c r="K13" i="4"/>
  <c r="F56" i="5" l="1"/>
  <c r="G51" i="5"/>
  <c r="E71" i="5"/>
  <c r="D79" i="5"/>
  <c r="G60" i="5"/>
  <c r="G52" i="5"/>
  <c r="F74" i="5"/>
  <c r="G76" i="5"/>
  <c r="D70" i="5"/>
  <c r="C80" i="5"/>
  <c r="H80" i="5" s="1"/>
  <c r="O43" i="4" s="1"/>
  <c r="D63" i="5"/>
  <c r="G67" i="5"/>
  <c r="G78" i="5"/>
  <c r="F69" i="5"/>
  <c r="D77" i="5"/>
  <c r="C72" i="5"/>
  <c r="H72" i="5" s="1"/>
  <c r="O35" i="4" s="1"/>
  <c r="E81" i="5"/>
  <c r="D58" i="5"/>
  <c r="F58" i="5"/>
  <c r="E76" i="5"/>
  <c r="G48" i="5"/>
  <c r="D74" i="5"/>
  <c r="E62" i="5"/>
  <c r="G64" i="5"/>
  <c r="E61" i="5"/>
  <c r="C74" i="5"/>
  <c r="H74" i="5" s="1"/>
  <c r="O37" i="4" s="1"/>
  <c r="G79" i="5"/>
  <c r="D68" i="5"/>
  <c r="D49" i="5"/>
  <c r="E77" i="5"/>
  <c r="E68" i="5"/>
  <c r="F66" i="5"/>
  <c r="C53" i="5"/>
  <c r="F73" i="5"/>
  <c r="C52" i="5"/>
  <c r="G61" i="5"/>
  <c r="F68" i="5"/>
  <c r="C56" i="5"/>
  <c r="D78" i="5"/>
  <c r="E74" i="5"/>
  <c r="E73" i="5"/>
  <c r="D50" i="5"/>
  <c r="D60" i="5"/>
  <c r="C51" i="5"/>
  <c r="D54" i="5"/>
  <c r="G75" i="5"/>
  <c r="D65" i="5"/>
  <c r="F49" i="5"/>
  <c r="E65" i="5"/>
  <c r="E59" i="5"/>
  <c r="F62" i="5"/>
  <c r="G58" i="5"/>
  <c r="C81" i="5"/>
  <c r="H81" i="5" s="1"/>
  <c r="O44" i="4" s="1"/>
  <c r="C58" i="5"/>
  <c r="F72" i="5"/>
  <c r="E57" i="5"/>
  <c r="E56" i="5"/>
  <c r="D51" i="5"/>
  <c r="C73" i="5"/>
  <c r="H73" i="5" s="1"/>
  <c r="O36" i="4" s="1"/>
  <c r="E49" i="5"/>
  <c r="C71" i="5"/>
  <c r="H71" i="5" s="1"/>
  <c r="O34" i="4" s="1"/>
  <c r="E67" i="5"/>
  <c r="D67" i="5"/>
  <c r="D55" i="5"/>
  <c r="F55" i="5"/>
  <c r="E50" i="5"/>
  <c r="D62" i="5"/>
  <c r="D73" i="5"/>
  <c r="C66" i="5"/>
  <c r="H66" i="5" s="1"/>
  <c r="O29" i="4" s="1"/>
  <c r="C70" i="5"/>
  <c r="H70" i="5" s="1"/>
  <c r="O33" i="4" s="1"/>
  <c r="G73" i="5"/>
  <c r="C64" i="5"/>
  <c r="H64" i="5" s="1"/>
  <c r="O27" i="4" s="1"/>
  <c r="F50" i="5"/>
  <c r="E54" i="5"/>
  <c r="E63" i="5"/>
  <c r="E48" i="5"/>
  <c r="G62" i="5"/>
  <c r="F52" i="5"/>
  <c r="F70" i="5"/>
  <c r="F78" i="5"/>
  <c r="G71" i="5"/>
  <c r="D57" i="5"/>
  <c r="F57" i="5"/>
  <c r="G74" i="5"/>
  <c r="F77" i="5"/>
  <c r="E78" i="5"/>
  <c r="E66" i="5"/>
  <c r="E72" i="5"/>
  <c r="E75" i="5"/>
  <c r="E53" i="5"/>
  <c r="C62" i="5"/>
  <c r="H62" i="5" s="1"/>
  <c r="O25" i="4" s="1"/>
  <c r="F64" i="5"/>
  <c r="C63" i="5"/>
  <c r="H63" i="5" s="1"/>
  <c r="O26" i="4" s="1"/>
  <c r="E79" i="5"/>
  <c r="D76" i="5"/>
  <c r="F60" i="5"/>
  <c r="F51" i="5"/>
  <c r="F65" i="5"/>
  <c r="D61" i="5"/>
  <c r="D52" i="5"/>
  <c r="E60" i="5"/>
  <c r="C69" i="5"/>
  <c r="H69" i="5" s="1"/>
  <c r="O32" i="4" s="1"/>
  <c r="G49" i="5"/>
  <c r="C49" i="5"/>
  <c r="F59" i="5"/>
  <c r="D81" i="5"/>
  <c r="E51" i="5"/>
  <c r="G56" i="5"/>
  <c r="C76" i="5"/>
  <c r="H76" i="5" s="1"/>
  <c r="O39" i="4" s="1"/>
  <c r="G69" i="5"/>
  <c r="D56" i="5"/>
  <c r="G70" i="5"/>
  <c r="D72" i="5"/>
  <c r="C77" i="5"/>
  <c r="H77" i="5" s="1"/>
  <c r="O40" i="4" s="1"/>
  <c r="G53" i="5"/>
  <c r="C67" i="5"/>
  <c r="H67" i="5" s="1"/>
  <c r="O30" i="4" s="1"/>
  <c r="E70" i="5"/>
  <c r="D59" i="5"/>
  <c r="F80" i="5"/>
  <c r="E55" i="5"/>
  <c r="C55" i="5"/>
  <c r="G66" i="5"/>
  <c r="D71" i="5"/>
  <c r="F54" i="5"/>
  <c r="C54" i="5"/>
  <c r="F48" i="5"/>
  <c r="C68" i="5"/>
  <c r="H68" i="5" s="1"/>
  <c r="O31" i="4" s="1"/>
  <c r="G54" i="5"/>
  <c r="G68" i="5"/>
  <c r="F76" i="5"/>
  <c r="F81" i="5"/>
  <c r="D75" i="5"/>
  <c r="D64" i="5"/>
  <c r="E80" i="5"/>
  <c r="C65" i="5"/>
  <c r="H65" i="5" s="1"/>
  <c r="O28" i="4" s="1"/>
  <c r="G80" i="5"/>
  <c r="C57" i="5"/>
  <c r="C60" i="5"/>
  <c r="H60" i="5" s="1"/>
  <c r="O23" i="4" s="1"/>
  <c r="E64" i="5"/>
  <c r="C48" i="5"/>
  <c r="C50" i="5"/>
  <c r="F63" i="5"/>
  <c r="G55" i="5"/>
  <c r="D53" i="5"/>
  <c r="G63" i="5"/>
  <c r="C79" i="5"/>
  <c r="H79" i="5" s="1"/>
  <c r="O42" i="4" s="1"/>
  <c r="F61" i="5"/>
  <c r="D48" i="5"/>
  <c r="D80" i="5"/>
  <c r="G57" i="5"/>
  <c r="F71" i="5"/>
  <c r="C78" i="5"/>
  <c r="H78" i="5" s="1"/>
  <c r="O41" i="4" s="1"/>
  <c r="G77" i="5"/>
  <c r="C59" i="5"/>
  <c r="E58" i="5"/>
  <c r="F75" i="5"/>
  <c r="G81" i="5"/>
  <c r="E52" i="5"/>
  <c r="E69" i="5"/>
  <c r="G72" i="5"/>
  <c r="C61" i="5"/>
  <c r="H61" i="5" s="1"/>
  <c r="O24" i="4" s="1"/>
  <c r="D69" i="5"/>
  <c r="G50" i="5"/>
  <c r="G65" i="5"/>
  <c r="G59" i="5"/>
  <c r="F79" i="5"/>
  <c r="C75" i="5"/>
  <c r="H75" i="5" s="1"/>
  <c r="O38" i="4" s="1"/>
  <c r="D66" i="5"/>
  <c r="F67" i="5"/>
  <c r="F53" i="5"/>
  <c r="F47" i="5"/>
  <c r="D47" i="5"/>
  <c r="G47" i="5"/>
  <c r="E47" i="5"/>
  <c r="N56" i="5"/>
  <c r="O51" i="5"/>
  <c r="M71" i="5"/>
  <c r="L79" i="5"/>
  <c r="O60" i="5"/>
  <c r="O52" i="5"/>
  <c r="N74" i="5"/>
  <c r="O76" i="5"/>
  <c r="L70" i="5"/>
  <c r="K80" i="5"/>
  <c r="L63" i="5"/>
  <c r="O67" i="5"/>
  <c r="O78" i="5"/>
  <c r="N69" i="5"/>
  <c r="L77" i="5"/>
  <c r="K72" i="5"/>
  <c r="M81" i="5"/>
  <c r="L58" i="5"/>
  <c r="N58" i="5"/>
  <c r="M76" i="5"/>
  <c r="O48" i="5"/>
  <c r="L74" i="5"/>
  <c r="M62" i="5"/>
  <c r="O64" i="5"/>
  <c r="M61" i="5"/>
  <c r="K74" i="5"/>
  <c r="O79" i="5"/>
  <c r="L68" i="5"/>
  <c r="L49" i="5"/>
  <c r="M77" i="5"/>
  <c r="M68" i="5"/>
  <c r="N66" i="5"/>
  <c r="K53" i="5"/>
  <c r="N73" i="5"/>
  <c r="K52" i="5"/>
  <c r="O61" i="5"/>
  <c r="N68" i="5"/>
  <c r="K56" i="5"/>
  <c r="L78" i="5"/>
  <c r="M74" i="5"/>
  <c r="M73" i="5"/>
  <c r="L50" i="5"/>
  <c r="L60" i="5"/>
  <c r="K51" i="5"/>
  <c r="L54" i="5"/>
  <c r="O75" i="5"/>
  <c r="L65" i="5"/>
  <c r="N49" i="5"/>
  <c r="M65" i="5"/>
  <c r="M59" i="5"/>
  <c r="N62" i="5"/>
  <c r="O58" i="5"/>
  <c r="K81" i="5"/>
  <c r="K58" i="5"/>
  <c r="N72" i="5"/>
  <c r="M57" i="5"/>
  <c r="M56" i="5"/>
  <c r="L51" i="5"/>
  <c r="K73" i="5"/>
  <c r="M49" i="5"/>
  <c r="K71" i="5"/>
  <c r="M67" i="5"/>
  <c r="L67" i="5"/>
  <c r="L55" i="5"/>
  <c r="N55" i="5"/>
  <c r="M50" i="5"/>
  <c r="L62" i="5"/>
  <c r="L73" i="5"/>
  <c r="K66" i="5"/>
  <c r="K70" i="5"/>
  <c r="O73" i="5"/>
  <c r="K64" i="5"/>
  <c r="N50" i="5"/>
  <c r="M54" i="5"/>
  <c r="M63" i="5"/>
  <c r="M48" i="5"/>
  <c r="O62" i="5"/>
  <c r="N52" i="5"/>
  <c r="N70" i="5"/>
  <c r="N78" i="5"/>
  <c r="O71" i="5"/>
  <c r="L57" i="5"/>
  <c r="N57" i="5"/>
  <c r="O74" i="5"/>
  <c r="N77" i="5"/>
  <c r="M78" i="5"/>
  <c r="M66" i="5"/>
  <c r="M72" i="5"/>
  <c r="M75" i="5"/>
  <c r="M53" i="5"/>
  <c r="K62" i="5"/>
  <c r="N64" i="5"/>
  <c r="K63" i="5"/>
  <c r="M79" i="5"/>
  <c r="L76" i="5"/>
  <c r="N60" i="5"/>
  <c r="N51" i="5"/>
  <c r="N65" i="5"/>
  <c r="L61" i="5"/>
  <c r="L52" i="5"/>
  <c r="M60" i="5"/>
  <c r="K69" i="5"/>
  <c r="O49" i="5"/>
  <c r="K49" i="5"/>
  <c r="N59" i="5"/>
  <c r="L81" i="5"/>
  <c r="M51" i="5"/>
  <c r="O56" i="5"/>
  <c r="K76" i="5"/>
  <c r="O69" i="5"/>
  <c r="L56" i="5"/>
  <c r="O70" i="5"/>
  <c r="L72" i="5"/>
  <c r="K77" i="5"/>
  <c r="O53" i="5"/>
  <c r="K67" i="5"/>
  <c r="M70" i="5"/>
  <c r="L59" i="5"/>
  <c r="N80" i="5"/>
  <c r="M55" i="5"/>
  <c r="K55" i="5"/>
  <c r="O66" i="5"/>
  <c r="L71" i="5"/>
  <c r="N54" i="5"/>
  <c r="K54" i="5"/>
  <c r="N48" i="5"/>
  <c r="K68" i="5"/>
  <c r="O54" i="5"/>
  <c r="O68" i="5"/>
  <c r="N76" i="5"/>
  <c r="N81" i="5"/>
  <c r="L75" i="5"/>
  <c r="L64" i="5"/>
  <c r="M80" i="5"/>
  <c r="K65" i="5"/>
  <c r="O80" i="5"/>
  <c r="K57" i="5"/>
  <c r="K60" i="5"/>
  <c r="M64" i="5"/>
  <c r="K48" i="5"/>
  <c r="K50" i="5"/>
  <c r="N63" i="5"/>
  <c r="O55" i="5"/>
  <c r="L53" i="5"/>
  <c r="O63" i="5"/>
  <c r="K79" i="5"/>
  <c r="N61" i="5"/>
  <c r="L48" i="5"/>
  <c r="L80" i="5"/>
  <c r="O57" i="5"/>
  <c r="N71" i="5"/>
  <c r="K78" i="5"/>
  <c r="O77" i="5"/>
  <c r="K59" i="5"/>
  <c r="M58" i="5"/>
  <c r="N75" i="5"/>
  <c r="O81" i="5"/>
  <c r="M52" i="5"/>
  <c r="M69" i="5"/>
  <c r="O72" i="5"/>
  <c r="K61" i="5"/>
  <c r="L69" i="5"/>
  <c r="O50" i="5"/>
  <c r="O65" i="5"/>
  <c r="O59" i="5"/>
  <c r="N79" i="5"/>
  <c r="K75" i="5"/>
  <c r="L66" i="5"/>
  <c r="N67" i="5"/>
  <c r="N53" i="5"/>
  <c r="N47" i="5"/>
  <c r="L47" i="5"/>
  <c r="O47" i="5"/>
  <c r="M47" i="5"/>
  <c r="C7" i="5"/>
  <c r="O17" i="5"/>
  <c r="G17" i="5"/>
  <c r="D10" i="5"/>
  <c r="L10" i="5"/>
  <c r="C24" i="5"/>
  <c r="K24" i="5"/>
  <c r="G13" i="5"/>
  <c r="O13" i="5"/>
  <c r="G35" i="5"/>
  <c r="O35" i="5"/>
  <c r="K23" i="5"/>
  <c r="C23" i="5"/>
  <c r="D15" i="5"/>
  <c r="L15" i="5"/>
  <c r="L31" i="5"/>
  <c r="D31" i="5"/>
  <c r="E44" i="5"/>
  <c r="M44" i="5"/>
  <c r="O10" i="5"/>
  <c r="G10" i="5"/>
  <c r="N30" i="5"/>
  <c r="F30" i="5"/>
  <c r="M12" i="5"/>
  <c r="E12" i="5"/>
  <c r="F32" i="5"/>
  <c r="N32" i="5"/>
  <c r="N34" i="5"/>
  <c r="F34" i="5"/>
  <c r="M11" i="5"/>
  <c r="E11" i="5"/>
  <c r="L21" i="5"/>
  <c r="D21" i="5"/>
  <c r="K27" i="5"/>
  <c r="C27" i="5"/>
  <c r="M38" i="5"/>
  <c r="E38" i="5"/>
  <c r="N24" i="5"/>
  <c r="F24" i="5"/>
  <c r="K43" i="5"/>
  <c r="C43" i="5"/>
  <c r="K33" i="5"/>
  <c r="C33" i="5"/>
  <c r="F43" i="5"/>
  <c r="N43" i="5"/>
  <c r="D40" i="5"/>
  <c r="L40" i="5"/>
  <c r="N25" i="5"/>
  <c r="F25" i="5"/>
  <c r="G8" i="5"/>
  <c r="O8" i="5"/>
  <c r="C28" i="5"/>
  <c r="K28" i="5"/>
  <c r="N28" i="5"/>
  <c r="F28" i="5"/>
  <c r="K8" i="5"/>
  <c r="C8" i="5"/>
  <c r="D30" i="5"/>
  <c r="L30" i="5"/>
  <c r="M32" i="5"/>
  <c r="E32" i="5"/>
  <c r="E36" i="5"/>
  <c r="M36" i="5"/>
  <c r="N10" i="5"/>
  <c r="F10" i="5"/>
  <c r="M41" i="5"/>
  <c r="E41" i="5"/>
  <c r="G34" i="5"/>
  <c r="O34" i="5"/>
  <c r="E46" i="5"/>
  <c r="M46" i="5"/>
  <c r="G29" i="5"/>
  <c r="O29" i="5"/>
  <c r="L9" i="5"/>
  <c r="D9" i="5"/>
  <c r="G33" i="5"/>
  <c r="O33" i="5"/>
  <c r="F35" i="5"/>
  <c r="N35" i="5"/>
  <c r="E15" i="5"/>
  <c r="M15" i="5"/>
  <c r="L11" i="5"/>
  <c r="D11" i="5"/>
  <c r="K35" i="5"/>
  <c r="C35" i="5"/>
  <c r="M25" i="5"/>
  <c r="E25" i="5"/>
  <c r="N39" i="5"/>
  <c r="F39" i="5"/>
  <c r="C44" i="5"/>
  <c r="K44" i="5"/>
  <c r="O28" i="5"/>
  <c r="G28" i="5"/>
  <c r="O37" i="5"/>
  <c r="G37" i="5"/>
  <c r="E21" i="5"/>
  <c r="M21" i="5"/>
  <c r="C15" i="5"/>
  <c r="K15" i="5"/>
  <c r="M30" i="5"/>
  <c r="E30" i="5"/>
  <c r="L12" i="5"/>
  <c r="D12" i="5"/>
  <c r="M14" i="5"/>
  <c r="E14" i="5"/>
  <c r="M42" i="5"/>
  <c r="E42" i="5"/>
  <c r="F13" i="5"/>
  <c r="N13" i="5"/>
  <c r="E19" i="5"/>
  <c r="M19" i="5"/>
  <c r="O42" i="5"/>
  <c r="G42" i="5"/>
  <c r="C9" i="5"/>
  <c r="K9" i="5"/>
  <c r="G31" i="5"/>
  <c r="O31" i="5"/>
  <c r="C41" i="5"/>
  <c r="K41" i="5"/>
  <c r="K10" i="5"/>
  <c r="C10" i="5"/>
  <c r="L35" i="5"/>
  <c r="D35" i="5"/>
  <c r="M45" i="5"/>
  <c r="E45" i="5"/>
  <c r="K21" i="5"/>
  <c r="C21" i="5"/>
  <c r="E26" i="5"/>
  <c r="M26" i="5"/>
  <c r="C29" i="5"/>
  <c r="K29" i="5"/>
  <c r="D36" i="5"/>
  <c r="L36" i="5"/>
  <c r="O46" i="5"/>
  <c r="G46" i="5"/>
  <c r="O23" i="5"/>
  <c r="G23" i="5"/>
  <c r="L28" i="5"/>
  <c r="D28" i="5"/>
  <c r="G40" i="5"/>
  <c r="O40" i="5"/>
  <c r="C20" i="5"/>
  <c r="K20" i="5"/>
  <c r="C34" i="5"/>
  <c r="K34" i="5"/>
  <c r="L13" i="5"/>
  <c r="D13" i="5"/>
  <c r="L29" i="5"/>
  <c r="D29" i="5"/>
  <c r="N14" i="5"/>
  <c r="F14" i="5"/>
  <c r="D18" i="5"/>
  <c r="L18" i="5"/>
  <c r="M27" i="5"/>
  <c r="E27" i="5"/>
  <c r="K13" i="5"/>
  <c r="C13" i="5"/>
  <c r="N37" i="5"/>
  <c r="F37" i="5"/>
  <c r="F38" i="5"/>
  <c r="N38" i="5"/>
  <c r="C12" i="5"/>
  <c r="K12" i="5"/>
  <c r="E17" i="5"/>
  <c r="M17" i="5"/>
  <c r="O32" i="5"/>
  <c r="G32" i="5"/>
  <c r="D44" i="5"/>
  <c r="L44" i="5"/>
  <c r="L46" i="5"/>
  <c r="D46" i="5"/>
  <c r="O36" i="5"/>
  <c r="G36" i="5"/>
  <c r="E39" i="5"/>
  <c r="M39" i="5"/>
  <c r="D20" i="5"/>
  <c r="L20" i="5"/>
  <c r="C40" i="5"/>
  <c r="K40" i="5"/>
  <c r="N18" i="5"/>
  <c r="F18" i="5"/>
  <c r="C26" i="5"/>
  <c r="K26" i="5"/>
  <c r="F29" i="5"/>
  <c r="N29" i="5"/>
  <c r="D34" i="5"/>
  <c r="L34" i="5"/>
  <c r="D23" i="5"/>
  <c r="L23" i="5"/>
  <c r="F21" i="5"/>
  <c r="N21" i="5"/>
  <c r="C32" i="5"/>
  <c r="K32" i="5"/>
  <c r="N11" i="5"/>
  <c r="F11" i="5"/>
  <c r="O19" i="5"/>
  <c r="G19" i="5"/>
  <c r="N44" i="5"/>
  <c r="F44" i="5"/>
  <c r="N23" i="5"/>
  <c r="F23" i="5"/>
  <c r="C22" i="5"/>
  <c r="K22" i="5"/>
  <c r="O20" i="5"/>
  <c r="G20" i="5"/>
  <c r="M28" i="5"/>
  <c r="E28" i="5"/>
  <c r="D14" i="5"/>
  <c r="L14" i="5"/>
  <c r="M18" i="5"/>
  <c r="E18" i="5"/>
  <c r="O27" i="5"/>
  <c r="G27" i="5"/>
  <c r="E43" i="5"/>
  <c r="M43" i="5"/>
  <c r="N40" i="5"/>
  <c r="F40" i="5"/>
  <c r="L19" i="5"/>
  <c r="D19" i="5"/>
  <c r="C17" i="5"/>
  <c r="K17" i="5"/>
  <c r="F31" i="5"/>
  <c r="N31" i="5"/>
  <c r="G41" i="5"/>
  <c r="O41" i="5"/>
  <c r="K45" i="5"/>
  <c r="C45" i="5"/>
  <c r="M13" i="5"/>
  <c r="E13" i="5"/>
  <c r="R23" i="4"/>
  <c r="R24" i="4" s="1"/>
  <c r="R25" i="4"/>
  <c r="K7" i="5"/>
  <c r="M16" i="5"/>
  <c r="E16" i="5"/>
  <c r="G18" i="5"/>
  <c r="O18" i="5"/>
  <c r="D33" i="5"/>
  <c r="L33" i="5"/>
  <c r="L37" i="5"/>
  <c r="D37" i="5"/>
  <c r="F45" i="5"/>
  <c r="N45" i="5"/>
  <c r="M20" i="5"/>
  <c r="E20" i="5"/>
  <c r="S23" i="4"/>
  <c r="S24" i="4" s="1"/>
  <c r="D7" i="5"/>
  <c r="L7" i="5"/>
  <c r="S25" i="4"/>
  <c r="D42" i="5"/>
  <c r="L42" i="5"/>
  <c r="N19" i="5"/>
  <c r="F19" i="5"/>
  <c r="G25" i="5"/>
  <c r="O25" i="5"/>
  <c r="F36" i="5"/>
  <c r="N36" i="5"/>
  <c r="O38" i="5"/>
  <c r="G38" i="5"/>
  <c r="T25" i="4"/>
  <c r="M7" i="5"/>
  <c r="T23" i="4"/>
  <c r="T24" i="4" s="1"/>
  <c r="E7" i="5"/>
  <c r="C38" i="5"/>
  <c r="K38" i="5"/>
  <c r="N33" i="5"/>
  <c r="F33" i="5"/>
  <c r="L17" i="5"/>
  <c r="D17" i="5"/>
  <c r="N20" i="5"/>
  <c r="F20" i="5"/>
  <c r="L45" i="5"/>
  <c r="D45" i="5"/>
  <c r="O45" i="5"/>
  <c r="G45" i="5"/>
  <c r="O39" i="5"/>
  <c r="G39" i="5"/>
  <c r="E9" i="5"/>
  <c r="M9" i="5"/>
  <c r="G30" i="5"/>
  <c r="O30" i="5"/>
  <c r="D41" i="5"/>
  <c r="L41" i="5"/>
  <c r="K18" i="5"/>
  <c r="C18" i="5"/>
  <c r="F46" i="5"/>
  <c r="N46" i="5"/>
  <c r="O22" i="5"/>
  <c r="G22" i="5"/>
  <c r="L16" i="5"/>
  <c r="D16" i="5"/>
  <c r="C25" i="5"/>
  <c r="K25" i="5"/>
  <c r="D22" i="5"/>
  <c r="L22" i="5"/>
  <c r="K31" i="5"/>
  <c r="C31" i="5"/>
  <c r="M34" i="5"/>
  <c r="E34" i="5"/>
  <c r="E35" i="5"/>
  <c r="M35" i="5"/>
  <c r="E22" i="5"/>
  <c r="M22" i="5"/>
  <c r="C46" i="5"/>
  <c r="K46" i="5"/>
  <c r="E8" i="5"/>
  <c r="M8" i="5"/>
  <c r="N7" i="5"/>
  <c r="U23" i="4"/>
  <c r="U24" i="4" s="1"/>
  <c r="U25" i="4"/>
  <c r="F7" i="5"/>
  <c r="D26" i="5"/>
  <c r="L26" i="5"/>
  <c r="O26" i="5"/>
  <c r="G26" i="5"/>
  <c r="G24" i="5"/>
  <c r="O24" i="5"/>
  <c r="M29" i="5"/>
  <c r="E29" i="5"/>
  <c r="G15" i="5"/>
  <c r="O15" i="5"/>
  <c r="N27" i="5"/>
  <c r="F27" i="5"/>
  <c r="D24" i="5"/>
  <c r="L24" i="5"/>
  <c r="K36" i="5"/>
  <c r="C36" i="5"/>
  <c r="N42" i="5"/>
  <c r="F42" i="5"/>
  <c r="M40" i="5"/>
  <c r="E40" i="5"/>
  <c r="N16" i="5"/>
  <c r="F16" i="5"/>
  <c r="N12" i="5"/>
  <c r="F12" i="5"/>
  <c r="N22" i="5"/>
  <c r="F22" i="5"/>
  <c r="E37" i="5"/>
  <c r="M37" i="5"/>
  <c r="V25" i="4"/>
  <c r="G7" i="5"/>
  <c r="O7" i="5"/>
  <c r="V23" i="4"/>
  <c r="V24" i="4" s="1"/>
  <c r="F8" i="5"/>
  <c r="N8" i="5"/>
  <c r="E31" i="5"/>
  <c r="M31" i="5"/>
  <c r="D38" i="5"/>
  <c r="L38" i="5"/>
  <c r="M33" i="5"/>
  <c r="E33" i="5"/>
  <c r="O12" i="5"/>
  <c r="G12" i="5"/>
  <c r="C19" i="5"/>
  <c r="K19" i="5"/>
  <c r="C14" i="5"/>
  <c r="K14" i="5"/>
  <c r="K11" i="5"/>
  <c r="C11" i="5"/>
  <c r="E23" i="5"/>
  <c r="M23" i="5"/>
  <c r="K39" i="5"/>
  <c r="C39" i="5"/>
  <c r="O16" i="5"/>
  <c r="G16" i="5"/>
  <c r="D32" i="5"/>
  <c r="L32" i="5"/>
  <c r="O21" i="5"/>
  <c r="G21" i="5"/>
  <c r="G43" i="5"/>
  <c r="O43" i="5"/>
  <c r="O9" i="5"/>
  <c r="G9" i="5"/>
  <c r="G11" i="5"/>
  <c r="O11" i="5"/>
  <c r="N17" i="5"/>
  <c r="F17" i="5"/>
  <c r="D39" i="5"/>
  <c r="L39" i="5"/>
  <c r="M24" i="5"/>
  <c r="E24" i="5"/>
  <c r="D25" i="5"/>
  <c r="L25" i="5"/>
  <c r="G14" i="5"/>
  <c r="O14" i="5"/>
  <c r="D27" i="5"/>
  <c r="L27" i="5"/>
  <c r="C16" i="5"/>
  <c r="K16" i="5"/>
  <c r="L8" i="5"/>
  <c r="D8" i="5"/>
  <c r="C30" i="5"/>
  <c r="K30" i="5"/>
  <c r="C42" i="5"/>
  <c r="K42" i="5"/>
  <c r="G44" i="5"/>
  <c r="O44" i="5"/>
  <c r="N41" i="5"/>
  <c r="F41" i="5"/>
  <c r="E10" i="5"/>
  <c r="M10" i="5"/>
  <c r="K37" i="5"/>
  <c r="C37" i="5"/>
  <c r="F26" i="5"/>
  <c r="N26" i="5"/>
  <c r="F9" i="5"/>
  <c r="N9" i="5"/>
  <c r="D43" i="5"/>
  <c r="L43" i="5"/>
  <c r="N15" i="5"/>
  <c r="F15" i="5"/>
  <c r="H49" i="5" l="1"/>
  <c r="O12" i="4" s="1"/>
  <c r="H47" i="5"/>
  <c r="O10" i="4" s="1"/>
  <c r="H50" i="5"/>
  <c r="O13" i="4" s="1"/>
  <c r="H39" i="5"/>
  <c r="H42" i="4" s="1"/>
  <c r="H48" i="5"/>
  <c r="O11" i="4" s="1"/>
  <c r="H51" i="5"/>
  <c r="O14" i="4" s="1"/>
  <c r="H46" i="5"/>
  <c r="H49" i="4" s="1"/>
  <c r="H45" i="5"/>
  <c r="H48" i="4" s="1"/>
  <c r="H52" i="5"/>
  <c r="O15" i="4" s="1"/>
  <c r="H40" i="5"/>
  <c r="H43" i="4" s="1"/>
  <c r="H41" i="5"/>
  <c r="H44" i="4" s="1"/>
  <c r="H44" i="5"/>
  <c r="H47" i="4" s="1"/>
  <c r="H56" i="5"/>
  <c r="O19" i="4" s="1"/>
  <c r="H42" i="5"/>
  <c r="H45" i="4" s="1"/>
  <c r="H43" i="5"/>
  <c r="H46" i="4" s="1"/>
  <c r="H54" i="5"/>
  <c r="O17" i="4" s="1"/>
  <c r="H55" i="5"/>
  <c r="O18" i="4" s="1"/>
  <c r="H53" i="5"/>
  <c r="O16" i="4" s="1"/>
  <c r="P49" i="5"/>
  <c r="H58" i="5"/>
  <c r="O21" i="4" s="1"/>
  <c r="H59" i="5"/>
  <c r="O22" i="4" s="1"/>
  <c r="H57" i="5"/>
  <c r="O20" i="4" s="1"/>
  <c r="P47" i="5"/>
  <c r="P50" i="5"/>
  <c r="P48" i="5"/>
  <c r="P51" i="5"/>
  <c r="H36" i="5"/>
  <c r="H39" i="4" s="1"/>
  <c r="H25" i="5"/>
  <c r="H28" i="4" s="1"/>
  <c r="P7" i="5"/>
  <c r="H11" i="5"/>
  <c r="H14" i="4" s="1"/>
  <c r="H26" i="5"/>
  <c r="H29" i="4" s="1"/>
  <c r="H34" i="5"/>
  <c r="H37" i="4" s="1"/>
  <c r="H20" i="5"/>
  <c r="H23" i="4" s="1"/>
  <c r="H9" i="5"/>
  <c r="H12" i="4" s="1"/>
  <c r="H8" i="5"/>
  <c r="H11" i="4" s="1"/>
  <c r="H30" i="5"/>
  <c r="H33" i="4" s="1"/>
  <c r="P42" i="5"/>
  <c r="H16" i="5"/>
  <c r="H19" i="4" s="1"/>
  <c r="H14" i="5"/>
  <c r="H17" i="4" s="1"/>
  <c r="H18" i="5"/>
  <c r="H21" i="4" s="1"/>
  <c r="H17" i="5"/>
  <c r="H20" i="4" s="1"/>
  <c r="H12" i="5"/>
  <c r="H15" i="4" s="1"/>
  <c r="H29" i="5"/>
  <c r="H32" i="4" s="1"/>
  <c r="H21" i="5"/>
  <c r="H24" i="4" s="1"/>
  <c r="H35" i="5"/>
  <c r="H38" i="4" s="1"/>
  <c r="H23" i="5"/>
  <c r="H26" i="4" s="1"/>
  <c r="H28" i="5"/>
  <c r="H31" i="4" s="1"/>
  <c r="H38" i="5"/>
  <c r="H41" i="4" s="1"/>
  <c r="H13" i="5"/>
  <c r="H16" i="4" s="1"/>
  <c r="H37" i="5"/>
  <c r="H40" i="4" s="1"/>
  <c r="H19" i="5"/>
  <c r="H22" i="4" s="1"/>
  <c r="H31" i="5"/>
  <c r="H34" i="4" s="1"/>
  <c r="H7" i="5"/>
  <c r="H10" i="4" s="1"/>
  <c r="H22" i="5"/>
  <c r="H25" i="4" s="1"/>
  <c r="H32" i="5"/>
  <c r="H35" i="4" s="1"/>
  <c r="H10" i="5"/>
  <c r="H13" i="4" s="1"/>
  <c r="H15" i="5"/>
  <c r="H18" i="4" s="1"/>
  <c r="H33" i="5"/>
  <c r="H36" i="4" s="1"/>
  <c r="H27" i="5"/>
  <c r="H30" i="4" s="1"/>
  <c r="H24" i="5"/>
  <c r="H27" i="4" s="1"/>
  <c r="P55" i="5"/>
  <c r="P36" i="5"/>
  <c r="P79" i="5"/>
  <c r="P69" i="5"/>
  <c r="P19" i="5"/>
  <c r="P18" i="5"/>
  <c r="P25" i="5"/>
  <c r="P45" i="5"/>
  <c r="P77" i="5"/>
  <c r="P11" i="5"/>
  <c r="P71" i="5"/>
  <c r="P37" i="5"/>
  <c r="P56" i="5"/>
  <c r="P16" i="5"/>
  <c r="P58" i="5"/>
  <c r="P14" i="5"/>
  <c r="P31" i="5"/>
  <c r="P74" i="5"/>
  <c r="P17" i="5"/>
  <c r="P53" i="5"/>
  <c r="P46" i="5"/>
  <c r="P44" i="5"/>
  <c r="P12" i="5"/>
  <c r="P61" i="5"/>
  <c r="P60" i="5"/>
  <c r="P52" i="5"/>
  <c r="P29" i="5"/>
  <c r="P10" i="5"/>
  <c r="P68" i="5"/>
  <c r="P33" i="5"/>
  <c r="P27" i="5"/>
  <c r="P62" i="5"/>
  <c r="P72" i="5"/>
  <c r="P8" i="5"/>
  <c r="P28" i="5"/>
  <c r="P70" i="5"/>
  <c r="P78" i="5"/>
  <c r="P81" i="5"/>
  <c r="P75" i="5"/>
  <c r="P39" i="5"/>
  <c r="P54" i="5"/>
  <c r="P66" i="5"/>
  <c r="P22" i="5"/>
  <c r="P32" i="5"/>
  <c r="P57" i="5"/>
  <c r="P21" i="5"/>
  <c r="P41" i="5"/>
  <c r="P65" i="5"/>
  <c r="P15" i="5"/>
  <c r="P35" i="5"/>
  <c r="P67" i="5"/>
  <c r="P43" i="5"/>
  <c r="P23" i="5"/>
  <c r="P24" i="5"/>
  <c r="P38" i="5"/>
  <c r="P30" i="5"/>
  <c r="P80" i="5"/>
  <c r="P73" i="5"/>
  <c r="P59" i="5"/>
  <c r="P26" i="5"/>
  <c r="P40" i="5"/>
  <c r="P76" i="5"/>
  <c r="P13" i="5"/>
  <c r="P64" i="5"/>
  <c r="P34" i="5"/>
  <c r="P20" i="5"/>
  <c r="P9" i="5"/>
  <c r="P63" i="5"/>
  <c r="L5" i="4" l="1"/>
  <c r="L6" i="4"/>
  <c r="L7" i="4" l="1"/>
  <c r="W2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<sst xmlns="http://schemas.openxmlformats.org/spreadsheetml/2006/main" count="626" uniqueCount="180">
  <si>
    <t>1.0A</t>
  </si>
  <si>
    <t>1.0B</t>
  </si>
  <si>
    <t>4.5A</t>
  </si>
  <si>
    <t>4.5B</t>
  </si>
  <si>
    <t>4.5C</t>
  </si>
  <si>
    <t>Diopter</t>
  </si>
  <si>
    <t>Measurement Date:</t>
  </si>
  <si>
    <t>Len ID</t>
  </si>
  <si>
    <t>Report for SubWO:</t>
  </si>
  <si>
    <t>Layer Measured:</t>
  </si>
  <si>
    <t>Pass/Fail</t>
  </si>
  <si>
    <t xml:space="preserve">Verified By: </t>
  </si>
  <si>
    <t xml:space="preserve">Reviewed By: </t>
  </si>
  <si>
    <t>Date:</t>
  </si>
  <si>
    <t>USL</t>
  </si>
  <si>
    <t>LSL</t>
  </si>
  <si>
    <t>Instructions:</t>
  </si>
  <si>
    <t>Step 1. Click "Clear Raw Data"</t>
  </si>
  <si>
    <t>Step 3. Click "Run Report"</t>
  </si>
  <si>
    <t>Average</t>
  </si>
  <si>
    <t>Stdev</t>
  </si>
  <si>
    <t>Statistics</t>
  </si>
  <si>
    <t>Count</t>
  </si>
  <si>
    <t>Step 2. Copy and Paste Data</t>
  </si>
  <si>
    <t>Yield</t>
  </si>
  <si>
    <t>Layer</t>
  </si>
  <si>
    <t>Yield (%)</t>
  </si>
  <si>
    <t>Lens Passed</t>
  </si>
  <si>
    <t>Lens Failed</t>
  </si>
  <si>
    <t>Lens ID</t>
  </si>
  <si>
    <t>LSL (um)</t>
  </si>
  <si>
    <t>USL (um)</t>
  </si>
  <si>
    <t>Posterior (15630-3XXX)</t>
  </si>
  <si>
    <t>Posterior (15630-2XXX)</t>
  </si>
  <si>
    <t>Anterior (14716-XXX)</t>
  </si>
  <si>
    <t>Form</t>
  </si>
  <si>
    <t>Document No.:</t>
  </si>
  <si>
    <t>F1183</t>
  </si>
  <si>
    <t>Rev. No.: A</t>
  </si>
  <si>
    <t>RxSight Inc.</t>
  </si>
  <si>
    <t>CR#:</t>
  </si>
  <si>
    <t>Status:</t>
  </si>
  <si>
    <t xml:space="preserve">Effective Date: </t>
  </si>
  <si>
    <t xml:space="preserve">Title: </t>
  </si>
  <si>
    <t xml:space="preserve">Lumedica Report Template </t>
  </si>
  <si>
    <t>B</t>
  </si>
  <si>
    <t>Released</t>
  </si>
  <si>
    <t>0005281</t>
  </si>
  <si>
    <t>Date</t>
  </si>
  <si>
    <t>Time</t>
  </si>
  <si>
    <t>Folder Name</t>
  </si>
  <si>
    <t>File Name</t>
  </si>
  <si>
    <t>3/8/2023</t>
  </si>
  <si>
    <t>5:16 AM</t>
  </si>
  <si>
    <t>MOLD 1 015 Clara R 20230308-20230308-051637.jpg</t>
  </si>
  <si>
    <t>0.053</t>
  </si>
  <si>
    <t>0.052</t>
  </si>
  <si>
    <t>MOLD 2 015 Clara R 20230308-20230308-051652.jpg</t>
  </si>
  <si>
    <t>5:17 AM</t>
  </si>
  <si>
    <t>MOLD 3 015 Clara R 20230308-20230308-051713.jpg</t>
  </si>
  <si>
    <t>MOLD 4 015 Clara R 20230308-20230308-051750.jpg</t>
  </si>
  <si>
    <t>0.055</t>
  </si>
  <si>
    <t>0.054</t>
  </si>
  <si>
    <t>5:18 AM</t>
  </si>
  <si>
    <t>MOLD 5 015 Clara R 20230308-20230308-051806.jpg</t>
  </si>
  <si>
    <t>0.049</t>
  </si>
  <si>
    <t>0.048</t>
  </si>
  <si>
    <t>MOLD 6 015 Clara R 20230308-20230308-051818.jpg</t>
  </si>
  <si>
    <t>0.051</t>
  </si>
  <si>
    <t>MOLD 7 015 Clara R 20230308-20230308-051829.jpg</t>
  </si>
  <si>
    <t>N/A</t>
  </si>
  <si>
    <t>MOLD 8 015 Clara R 20230308-20230308-051840.jpg</t>
  </si>
  <si>
    <t>MOLD 9 015 Clara R 20230308-20230308-051854.jpg</t>
  </si>
  <si>
    <t>5:19 AM</t>
  </si>
  <si>
    <t>MOLD 10 015 Clara R 20230308-20230308-051907.jpg</t>
  </si>
  <si>
    <t>MOLD 11 015 Clara R 20230308-20230308-051919.jpg</t>
  </si>
  <si>
    <t>MOLD 12 015 Clara R 20230308-20230308-051929.jpg</t>
  </si>
  <si>
    <t>MOLD 13 015 Clara R 20230308-20230308-051940.jpg</t>
  </si>
  <si>
    <t>MOLD 14 015 Clara R 20230308-20230308-051958.jpg</t>
  </si>
  <si>
    <t>5:20 AM</t>
  </si>
  <si>
    <t>MOLD 15 015 Clara R 20230308-20230308-052009.jpg</t>
  </si>
  <si>
    <t>MOLD 16 015 Clara R 20230308-20230308-052020.jpg</t>
  </si>
  <si>
    <t>MOLD 17 015 Clara R 20230308-20230308-052030.jpg</t>
  </si>
  <si>
    <t>MOLD 1 040 Clara R 20230308-20230308-052051.jpg</t>
  </si>
  <si>
    <t>5:21 AM</t>
  </si>
  <si>
    <t>MOLD 2 040 Clara R 20230308-20230308-052106.jpg</t>
  </si>
  <si>
    <t>MOLD 3 040 Clara R 20230308-20230308-052117.jpg</t>
  </si>
  <si>
    <t>MOLD 4 040 Clara R 20230308-20230308-052128.jpg</t>
  </si>
  <si>
    <t>MOLD 5 040 Clara R 20230308-20230308-052140.jpg</t>
  </si>
  <si>
    <t>0.047</t>
  </si>
  <si>
    <t>MOLD 6 040 Clara R 20230308-20230308-052157.jpg</t>
  </si>
  <si>
    <t>5:22 AM</t>
  </si>
  <si>
    <t>MOLD 7 040 Clara R 20230308-20230308-052209.jpg</t>
  </si>
  <si>
    <t>MOLD 8 040 Clara R 20230308-20230308-052222.jpg</t>
  </si>
  <si>
    <t>MOLD 9 040 Clara R 20230308-20230308-052233.jpg</t>
  </si>
  <si>
    <t>MOLD 10 040 Clara R 20230308-20230308-052248.jpg</t>
  </si>
  <si>
    <t>MOLD 11 040 Clara R 20230308-20230308-052258.jpg</t>
  </si>
  <si>
    <t>5:23 AM</t>
  </si>
  <si>
    <t>MOLD 12 040 Clara R 20230308-20230308-052312.jpg</t>
  </si>
  <si>
    <t>MOLD 13 040 Clara R 20230308-20230308-052322.jpg</t>
  </si>
  <si>
    <t>MOLD 14 040 Clara R 20230308-20230308-052333.jpg</t>
  </si>
  <si>
    <t>MOLD 15 040 Clara R 20230308-20230308-052349.jpg</t>
  </si>
  <si>
    <t>MOLD 16 040 Clara R 20230308-20230308-052359.jpg</t>
  </si>
  <si>
    <t>5:24 AM</t>
  </si>
  <si>
    <t>MOLD 17 040 Clara R 20230308-20230308-052410.jpg</t>
  </si>
  <si>
    <t>1 015 Clara R 20230308-20230308-051637</t>
  </si>
  <si>
    <t>2 015 Clara R 20230308-20230308-051652</t>
  </si>
  <si>
    <t>3 015 Clara R 20230308-20230308-051713</t>
  </si>
  <si>
    <t>4 015 Clara R 20230308-20230308-051750</t>
  </si>
  <si>
    <t>5 015 Clara R 20230308-20230308-051806</t>
  </si>
  <si>
    <t>6 015 Clara R 20230308-20230308-051818</t>
  </si>
  <si>
    <t>7 015 Clara R 20230308-20230308-051829</t>
  </si>
  <si>
    <t>8 015 Clara R 20230308-20230308-051840</t>
  </si>
  <si>
    <t>9 015 Clara R 20230308-20230308-051854</t>
  </si>
  <si>
    <t>10 015 Clara R 20230308-20230308-051907</t>
  </si>
  <si>
    <t>11 015 Clara R 20230308-20230308-051919</t>
  </si>
  <si>
    <t>12 015 Clara R 20230308-20230308-051929</t>
  </si>
  <si>
    <t>13 015 Clara R 20230308-20230308-051940</t>
  </si>
  <si>
    <t>14 015 Clara R 20230308-20230308-051958</t>
  </si>
  <si>
    <t>15 015 Clara R 20230308-20230308-052009</t>
  </si>
  <si>
    <t>16 015 Clara R 20230308-20230308-052020</t>
  </si>
  <si>
    <t>17 015 Clara R 20230308-20230308-052030</t>
  </si>
  <si>
    <t>1 040 Clara R 20230308-20230308-052051</t>
  </si>
  <si>
    <t>2 040 Clara R 20230308-20230308-052106</t>
  </si>
  <si>
    <t>3 040 Clara R 20230308-20230308-052117</t>
  </si>
  <si>
    <t>4 040 Clara R 20230308-20230308-052128</t>
  </si>
  <si>
    <t>5 040 Clara R 20230308-20230308-052140</t>
  </si>
  <si>
    <t>6 040 Clara R 20230308-20230308-052157</t>
  </si>
  <si>
    <t>7 040 Clara R 20230308-20230308-052209</t>
  </si>
  <si>
    <t>8 040 Clara R 20230308-20230308-052222</t>
  </si>
  <si>
    <t>9 040 Clara R 20230308-20230308-052233</t>
  </si>
  <si>
    <t>10 040 Clara R 20230308-20230308-052248</t>
  </si>
  <si>
    <t>11 040 Clara R 20230308-20230308-052258</t>
  </si>
  <si>
    <t>12 040 Clara R 20230308-20230308-052312</t>
  </si>
  <si>
    <t>13 040 Clara R 20230308-20230308-052322</t>
  </si>
  <si>
    <t>14 040 Clara R 20230308-20230308-052333</t>
  </si>
  <si>
    <t>15 040 Clara R 20230308-20230308-052349</t>
  </si>
  <si>
    <t>16 040 Clara R 20230308-20230308-052359</t>
  </si>
  <si>
    <t>17 040 Clara R 20230308-20230308-052410</t>
  </si>
  <si>
    <t>R</t>
  </si>
  <si>
    <t>20230308-20230308-051637</t>
  </si>
  <si>
    <t>20230308-20230308-051652</t>
  </si>
  <si>
    <t>20230308-20230308-051713</t>
  </si>
  <si>
    <t>20230308-20230308-051750</t>
  </si>
  <si>
    <t>20230308-20230308-051806</t>
  </si>
  <si>
    <t>20230308-20230308-051818</t>
  </si>
  <si>
    <t>20230308-20230308-051829</t>
  </si>
  <si>
    <t>20230308-20230308-051840</t>
  </si>
  <si>
    <t>20230308-20230308-051854</t>
  </si>
  <si>
    <t>20230308-20230308-051907</t>
  </si>
  <si>
    <t>20230308-20230308-051919</t>
  </si>
  <si>
    <t>20230308-20230308-051929</t>
  </si>
  <si>
    <t>20230308-20230308-051940</t>
  </si>
  <si>
    <t>20230308-20230308-051958</t>
  </si>
  <si>
    <t>20230308-20230308-052009</t>
  </si>
  <si>
    <t>20230308-20230308-052020</t>
  </si>
  <si>
    <t>20230308-20230308-052030</t>
  </si>
  <si>
    <t>20230308-20230308-052051</t>
  </si>
  <si>
    <t>20230308-20230308-052106</t>
  </si>
  <si>
    <t>20230308-20230308-052117</t>
  </si>
  <si>
    <t>20230308-20230308-052128</t>
  </si>
  <si>
    <t>20230308-20230308-052140</t>
  </si>
  <si>
    <t>20230308-20230308-052157</t>
  </si>
  <si>
    <t>20230308-20230308-052209</t>
  </si>
  <si>
    <t>20230308-20230308-052222</t>
  </si>
  <si>
    <t>20230308-20230308-052233</t>
  </si>
  <si>
    <t>20230308-20230308-052248</t>
  </si>
  <si>
    <t>20230308-20230308-052258</t>
  </si>
  <si>
    <t>20230308-20230308-052312</t>
  </si>
  <si>
    <t>20230308-20230308-052322</t>
  </si>
  <si>
    <t>20230308-20230308-052333</t>
  </si>
  <si>
    <t>20230308-20230308-052349</t>
  </si>
  <si>
    <t>20230308-20230308-052359</t>
  </si>
  <si>
    <t>20230308-20230308-052410</t>
  </si>
  <si>
    <t>LenID</t>
  </si>
  <si>
    <t>DataID</t>
  </si>
  <si>
    <t>UID</t>
  </si>
  <si>
    <t>Time_Tag</t>
  </si>
  <si>
    <t>C:\Users\Public\Documents\Lumedica\OctEngine\Data\L08-004637-01-A 195D</t>
  </si>
  <si>
    <t>L08-004637-01-A 195D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</si>
</sst>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[$-F400]h:mm:ss\ AM/PM"/>
    <numFmt numFmtId="166" formatCode="0.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3" borderId="0" applyNumberFormat="0" applyBorder="0" applyAlignment="0" applyProtection="0"/>
    <xf numFmtId="9" fontId="8" fillId="0" borderId="0" applyFont="0" applyFill="0" applyBorder="0" applyAlignment="0" applyProtection="0"/>
    <xf numFmtId="0" fontId="8" fillId="6" borderId="0" applyNumberFormat="0" applyBorder="0" applyAlignment="0" applyProtection="0"/>
  </cellStyleXfs>
  <cellXfs count="163">
    <xf numFmtId="0" fontId="0" fillId="0" borderId="0" xfId="0"/>
    <xf numFmtId="164" fontId="0" fillId="0" borderId="0" xfId="0" applyNumberFormat="1"/>
    <xf numFmtId="0" fontId="0" fillId="4" borderId="0" xfId="0" applyFill="1"/>
    <xf numFmtId="0" fontId="0" fillId="4" borderId="6" xfId="0" applyFill="1" applyBorder="1"/>
    <xf numFmtId="0" fontId="0" fillId="4" borderId="19" xfId="0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7" xfId="0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2" fillId="4" borderId="0" xfId="1" applyFill="1"/>
    <xf numFmtId="0" fontId="2" fillId="3" borderId="2" xfId="1" applyBorder="1"/>
    <xf numFmtId="0" fontId="2" fillId="3" borderId="4" xfId="1" applyBorder="1"/>
    <xf numFmtId="0" fontId="2" fillId="3" borderId="5" xfId="1" applyBorder="1"/>
    <xf numFmtId="0" fontId="2" fillId="3" borderId="6" xfId="1" applyBorder="1"/>
    <xf numFmtId="0" fontId="2" fillId="3" borderId="19" xfId="1" applyBorder="1"/>
    <xf numFmtId="0" fontId="2" fillId="3" borderId="10" xfId="1" applyBorder="1"/>
    <xf numFmtId="0" fontId="5" fillId="4" borderId="0" xfId="0" applyFont="1" applyFill="1"/>
    <xf numFmtId="165" fontId="0" fillId="0" borderId="0" xfId="0" applyNumberFormat="1"/>
    <xf numFmtId="0" fontId="0" fillId="4" borderId="4" xfId="0" applyFill="1" applyBorder="1"/>
    <xf numFmtId="0" fontId="0" fillId="4" borderId="5" xfId="0" applyFill="1" applyBorder="1"/>
    <xf numFmtId="0" fontId="5" fillId="4" borderId="5" xfId="0" applyFont="1" applyFill="1" applyBorder="1"/>
    <xf numFmtId="1" fontId="0" fillId="0" borderId="20" xfId="0" applyNumberFormat="1" applyBorder="1" applyAlignment="1">
      <alignment horizontal="center"/>
    </xf>
    <xf numFmtId="0" fontId="8" fillId="6" borderId="2" xfId="3" applyBorder="1"/>
    <xf numFmtId="0" fontId="8" fillId="6" borderId="3" xfId="3" applyBorder="1"/>
    <xf numFmtId="0" fontId="8" fillId="6" borderId="4" xfId="3" applyBorder="1"/>
    <xf numFmtId="0" fontId="8" fillId="6" borderId="5" xfId="3" applyBorder="1"/>
    <xf numFmtId="0" fontId="8" fillId="6" borderId="0" xfId="3" applyBorder="1"/>
    <xf numFmtId="0" fontId="8" fillId="6" borderId="6" xfId="3" applyBorder="1"/>
    <xf numFmtId="0" fontId="8" fillId="6" borderId="19" xfId="3" applyBorder="1"/>
    <xf numFmtId="0" fontId="8" fillId="6" borderId="9" xfId="3" applyBorder="1"/>
    <xf numFmtId="0" fontId="8" fillId="6" borderId="10" xfId="3" applyBorder="1"/>
    <xf numFmtId="1" fontId="0" fillId="0" borderId="0" xfId="0" applyNumberFormat="1"/>
    <xf numFmtId="0" fontId="0" fillId="4" borderId="3" xfId="0" applyFill="1" applyBorder="1" applyProtection="1">
      <protection hidden="1"/>
    </xf>
    <xf numFmtId="1" fontId="0" fillId="4" borderId="14" xfId="0" applyNumberFormat="1" applyFill="1" applyBorder="1" applyAlignment="1" applyProtection="1">
      <alignment horizontal="center" vertical="center"/>
      <protection hidden="1"/>
    </xf>
    <xf numFmtId="0" fontId="0" fillId="4" borderId="14" xfId="0" applyFill="1" applyBorder="1" applyProtection="1">
      <protection hidden="1"/>
    </xf>
    <xf numFmtId="0" fontId="0" fillId="4" borderId="15" xfId="0" applyFill="1" applyBorder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1" fontId="0" fillId="4" borderId="1" xfId="0" applyNumberFormat="1" applyFill="1" applyBorder="1" applyAlignment="1" applyProtection="1">
      <alignment horizontal="center" vertical="center"/>
      <protection hidden="1"/>
    </xf>
    <xf numFmtId="0" fontId="0" fillId="4" borderId="1" xfId="0" applyFill="1" applyBorder="1" applyProtection="1">
      <protection hidden="1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38" xfId="0" applyFill="1" applyBorder="1" applyProtection="1">
      <protection hidden="1"/>
    </xf>
    <xf numFmtId="0" fontId="0" fillId="4" borderId="39" xfId="0" applyFill="1" applyBorder="1" applyAlignment="1" applyProtection="1">
      <alignment horizontal="center"/>
      <protection hidden="1"/>
    </xf>
    <xf numFmtId="0" fontId="0" fillId="4" borderId="39" xfId="0" applyFill="1" applyBorder="1" applyProtection="1">
      <protection hidden="1"/>
    </xf>
    <xf numFmtId="9" fontId="0" fillId="4" borderId="39" xfId="2" applyFont="1" applyFill="1" applyBorder="1" applyAlignment="1" applyProtection="1">
      <alignment horizontal="center"/>
      <protection hidden="1"/>
    </xf>
    <xf numFmtId="0" fontId="0" fillId="4" borderId="40" xfId="0" applyFill="1" applyBorder="1" applyProtection="1">
      <protection hidden="1"/>
    </xf>
    <xf numFmtId="0" fontId="1" fillId="5" borderId="32" xfId="0" applyFont="1" applyFill="1" applyBorder="1" applyAlignment="1" applyProtection="1">
      <alignment horizontal="center" vertical="center"/>
      <protection hidden="1"/>
    </xf>
    <xf numFmtId="0" fontId="1" fillId="5" borderId="33" xfId="0" applyFont="1" applyFill="1" applyBorder="1" applyAlignment="1" applyProtection="1">
      <alignment horizontal="center" vertical="center" wrapText="1"/>
      <protection hidden="1"/>
    </xf>
    <xf numFmtId="0" fontId="1" fillId="5" borderId="34" xfId="0" applyFont="1" applyFill="1" applyBorder="1" applyAlignment="1" applyProtection="1">
      <alignment horizontal="center" vertical="center" wrapText="1"/>
      <protection hidden="1"/>
    </xf>
    <xf numFmtId="0" fontId="1" fillId="5" borderId="43" xfId="0" applyFont="1" applyFill="1" applyBorder="1" applyAlignment="1" applyProtection="1">
      <alignment horizontal="center" vertical="center"/>
      <protection hidden="1"/>
    </xf>
    <xf numFmtId="0" fontId="1" fillId="5" borderId="44" xfId="0" applyFont="1" applyFill="1" applyBorder="1" applyAlignment="1" applyProtection="1">
      <alignment horizontal="center" vertical="center" wrapText="1"/>
      <protection hidden="1"/>
    </xf>
    <xf numFmtId="0" fontId="1" fillId="5" borderId="45" xfId="0" applyFont="1" applyFill="1" applyBorder="1" applyAlignment="1" applyProtection="1">
      <alignment horizontal="center" vertical="center" wrapText="1"/>
      <protection hidden="1"/>
    </xf>
    <xf numFmtId="0" fontId="0" fillId="4" borderId="11" xfId="0" applyFill="1" applyBorder="1" applyAlignment="1" applyProtection="1">
      <alignment horizontal="center"/>
      <protection hidden="1"/>
    </xf>
    <xf numFmtId="164" fontId="0" fillId="4" borderId="12" xfId="0" applyNumberFormat="1" applyFill="1" applyBorder="1" applyAlignment="1" applyProtection="1">
      <alignment horizontal="center"/>
      <protection hidden="1"/>
    </xf>
    <xf numFmtId="1" fontId="0" fillId="4" borderId="27" xfId="0" applyNumberFormat="1" applyFill="1" applyBorder="1" applyAlignment="1" applyProtection="1">
      <alignment horizontal="center"/>
      <protection hidden="1"/>
    </xf>
    <xf numFmtId="1" fontId="0" fillId="4" borderId="20" xfId="0" applyNumberFormat="1" applyFill="1" applyBorder="1" applyAlignment="1" applyProtection="1">
      <alignment horizontal="center"/>
      <protection hidden="1"/>
    </xf>
    <xf numFmtId="0" fontId="0" fillId="4" borderId="7" xfId="0" applyFill="1" applyBorder="1" applyAlignment="1" applyProtection="1">
      <alignment horizontal="center"/>
      <protection hidden="1"/>
    </xf>
    <xf numFmtId="0" fontId="1" fillId="4" borderId="1" xfId="0" applyFont="1" applyFill="1" applyBorder="1" applyAlignment="1" applyProtection="1">
      <alignment horizontal="left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left" vertical="center" wrapText="1"/>
      <protection hidden="1"/>
    </xf>
    <xf numFmtId="1" fontId="0" fillId="5" borderId="1" xfId="0" applyNumberFormat="1" applyFill="1" applyBorder="1" applyAlignment="1" applyProtection="1">
      <alignment horizontal="center" vertical="center" wrapText="1"/>
      <protection hidden="1"/>
    </xf>
    <xf numFmtId="0" fontId="0" fillId="4" borderId="1" xfId="0" applyFill="1" applyBorder="1" applyAlignment="1" applyProtection="1">
      <alignment horizontal="left"/>
      <protection hidden="1"/>
    </xf>
    <xf numFmtId="164" fontId="0" fillId="5" borderId="1" xfId="0" applyNumberFormat="1" applyFill="1" applyBorder="1" applyAlignment="1" applyProtection="1">
      <alignment horizontal="center" vertical="center" wrapText="1"/>
      <protection hidden="1"/>
    </xf>
    <xf numFmtId="0" fontId="0" fillId="4" borderId="1" xfId="0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4" fillId="0" borderId="0" xfId="1" applyNumberFormat="1" applyFont="1" applyFill="1" applyProtection="1">
      <protection hidden="1"/>
    </xf>
    <xf numFmtId="0" fontId="1" fillId="4" borderId="0" xfId="0" applyFont="1" applyFill="1" applyAlignment="1" applyProtection="1">
      <alignment horizontal="left"/>
      <protection hidden="1"/>
    </xf>
    <xf numFmtId="0" fontId="1" fillId="5" borderId="0" xfId="0" applyFont="1" applyFill="1" applyAlignment="1" applyProtection="1">
      <alignment horizontal="center" vertical="center" wrapText="1"/>
      <protection hidden="1"/>
    </xf>
    <xf numFmtId="0" fontId="1" fillId="4" borderId="0" xfId="0" applyFont="1" applyFill="1" applyAlignment="1" applyProtection="1">
      <alignment horizontal="center" vertical="center"/>
      <protection hidden="1"/>
    </xf>
    <xf numFmtId="0" fontId="0" fillId="5" borderId="0" xfId="0" applyFill="1" applyAlignment="1" applyProtection="1">
      <alignment horizontal="left" vertical="center" wrapText="1"/>
      <protection hidden="1"/>
    </xf>
    <xf numFmtId="1" fontId="0" fillId="5" borderId="0" xfId="0" applyNumberFormat="1" applyFill="1" applyAlignment="1" applyProtection="1">
      <alignment horizontal="center" vertical="center" wrapText="1"/>
      <protection hidden="1"/>
    </xf>
    <xf numFmtId="0" fontId="0" fillId="4" borderId="0" xfId="0" applyFill="1" applyAlignment="1" applyProtection="1">
      <alignment horizontal="left"/>
      <protection hidden="1"/>
    </xf>
    <xf numFmtId="164" fontId="0" fillId="5" borderId="0" xfId="0" applyNumberFormat="1" applyFill="1" applyAlignment="1" applyProtection="1">
      <alignment horizontal="center" vertical="center" wrapText="1"/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4" borderId="37" xfId="0" applyFill="1" applyBorder="1"/>
    <xf numFmtId="0" fontId="0" fillId="4" borderId="0" xfId="0" applyFill="1" applyAlignment="1">
      <alignment horizontal="right"/>
    </xf>
    <xf numFmtId="0" fontId="0" fillId="4" borderId="36" xfId="0" applyFill="1" applyBorder="1"/>
    <xf numFmtId="0" fontId="0" fillId="4" borderId="41" xfId="0" applyFill="1" applyBorder="1" applyAlignment="1">
      <alignment horizontal="right"/>
    </xf>
    <xf numFmtId="0" fontId="0" fillId="4" borderId="29" xfId="0" applyFill="1" applyBorder="1"/>
    <xf numFmtId="0" fontId="0" fillId="4" borderId="30" xfId="0" applyFill="1" applyBorder="1" applyAlignment="1">
      <alignment horizontal="right"/>
    </xf>
    <xf numFmtId="0" fontId="0" fillId="4" borderId="36" xfId="0" applyFill="1" applyBorder="1" applyAlignment="1">
      <alignment horizontal="right"/>
    </xf>
    <xf numFmtId="0" fontId="0" fillId="4" borderId="41" xfId="0" applyFill="1" applyBorder="1"/>
    <xf numFmtId="0" fontId="0" fillId="4" borderId="30" xfId="0" applyFill="1" applyBorder="1"/>
    <xf numFmtId="0" fontId="0" fillId="4" borderId="37" xfId="0" applyFill="1" applyBorder="1" applyAlignment="1">
      <alignment horizontal="right"/>
    </xf>
    <xf numFmtId="49" fontId="0" fillId="4" borderId="0" xfId="0" applyNumberFormat="1" applyFill="1" applyAlignment="1">
      <alignment horizontal="right"/>
    </xf>
    <xf numFmtId="0" fontId="0" fillId="4" borderId="9" xfId="0" applyFill="1" applyBorder="1" applyProtection="1">
      <protection hidden="1"/>
    </xf>
    <xf numFmtId="166" fontId="0" fillId="4" borderId="17" xfId="2" applyNumberFormat="1" applyFont="1" applyFill="1" applyBorder="1" applyAlignment="1" applyProtection="1">
      <alignment horizontal="center"/>
      <protection hidden="1"/>
    </xf>
    <xf numFmtId="0" fontId="0" fillId="4" borderId="17" xfId="0" applyFill="1" applyBorder="1" applyProtection="1">
      <protection hidden="1"/>
    </xf>
    <xf numFmtId="0" fontId="0" fillId="4" borderId="18" xfId="0" applyFill="1" applyBorder="1" applyAlignment="1" applyProtection="1">
      <alignment horizontal="center"/>
      <protection hidden="1"/>
    </xf>
    <xf numFmtId="0" fontId="0" fillId="7" borderId="36" xfId="0" applyFill="1" applyBorder="1"/>
    <xf numFmtId="0" fontId="0" fillId="7" borderId="41" xfId="0" applyFill="1" applyBorder="1"/>
    <xf numFmtId="0" fontId="0" fillId="7" borderId="37" xfId="0" applyFill="1" applyBorder="1"/>
    <xf numFmtId="0" fontId="0" fillId="8" borderId="26" xfId="0" applyFill="1" applyBorder="1" applyAlignment="1">
      <alignment horizontal="center"/>
    </xf>
    <xf numFmtId="164" fontId="0" fillId="8" borderId="12" xfId="0" applyNumberFormat="1" applyFill="1" applyBorder="1" applyAlignment="1">
      <alignment horizontal="center"/>
    </xf>
    <xf numFmtId="1" fontId="0" fillId="8" borderId="20" xfId="0" applyNumberFormat="1" applyFill="1" applyBorder="1" applyAlignment="1">
      <alignment horizontal="center"/>
    </xf>
    <xf numFmtId="0" fontId="0" fillId="8" borderId="0" xfId="0" applyFill="1"/>
    <xf numFmtId="0" fontId="0" fillId="4" borderId="47" xfId="0" applyFill="1" applyBorder="1" applyAlignment="1" applyProtection="1">
      <alignment horizontal="center"/>
      <protection hidden="1"/>
    </xf>
    <xf numFmtId="164" fontId="0" fillId="4" borderId="48" xfId="0" applyNumberFormat="1" applyFill="1" applyBorder="1" applyAlignment="1" applyProtection="1">
      <alignment horizontal="center"/>
      <protection hidden="1"/>
    </xf>
    <xf numFmtId="1" fontId="0" fillId="4" borderId="49" xfId="0" applyNumberFormat="1" applyFill="1" applyBorder="1" applyAlignment="1" applyProtection="1">
      <alignment horizontal="center"/>
      <protection hidden="1"/>
    </xf>
    <xf numFmtId="0" fontId="0" fillId="4" borderId="1" xfId="0" applyFill="1" applyBorder="1"/>
    <xf numFmtId="0" fontId="0" fillId="4" borderId="35" xfId="0" applyFill="1" applyBorder="1" applyAlignment="1" applyProtection="1">
      <alignment horizontal="left"/>
      <protection hidden="1"/>
    </xf>
    <xf numFmtId="0" fontId="0" fillId="4" borderId="24" xfId="0" applyFill="1" applyBorder="1" applyAlignment="1" applyProtection="1">
      <alignment horizontal="left"/>
      <protection hidden="1"/>
    </xf>
    <xf numFmtId="0" fontId="0" fillId="9" borderId="5" xfId="0" applyFill="1" applyBorder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0" fillId="9" borderId="6" xfId="0" applyFill="1" applyBorder="1" applyAlignment="1" applyProtection="1">
      <alignment horizontal="center"/>
      <protection hidden="1"/>
    </xf>
    <xf numFmtId="0" fontId="0" fillId="9" borderId="19" xfId="0" applyFill="1" applyBorder="1" applyAlignment="1" applyProtection="1">
      <alignment horizontal="center"/>
      <protection hidden="1"/>
    </xf>
    <xf numFmtId="0" fontId="0" fillId="9" borderId="9" xfId="0" applyFill="1" applyBorder="1" applyAlignment="1" applyProtection="1">
      <alignment horizontal="center"/>
      <protection hidden="1"/>
    </xf>
    <xf numFmtId="0" fontId="0" fillId="9" borderId="10" xfId="0" applyFill="1" applyBorder="1" applyAlignment="1" applyProtection="1">
      <alignment horizontal="center"/>
      <protection hidden="1"/>
    </xf>
    <xf numFmtId="9" fontId="1" fillId="4" borderId="0" xfId="2" applyFont="1" applyFill="1" applyBorder="1" applyAlignment="1" applyProtection="1">
      <alignment horizontal="center" vertical="center"/>
      <protection hidden="1"/>
    </xf>
    <xf numFmtId="9" fontId="1" fillId="4" borderId="28" xfId="2" applyFont="1" applyFill="1" applyBorder="1" applyAlignment="1" applyProtection="1">
      <alignment horizontal="center" vertical="center"/>
      <protection hidden="1"/>
    </xf>
    <xf numFmtId="9" fontId="1" fillId="4" borderId="12" xfId="2" applyFont="1" applyFill="1" applyBorder="1" applyAlignment="1" applyProtection="1">
      <alignment horizontal="center" vertical="center"/>
      <protection hidden="1"/>
    </xf>
    <xf numFmtId="0" fontId="0" fillId="4" borderId="46" xfId="0" applyFill="1" applyBorder="1" applyAlignment="1" applyProtection="1">
      <alignment horizontal="left"/>
      <protection hidden="1"/>
    </xf>
    <xf numFmtId="0" fontId="0" fillId="4" borderId="25" xfId="0" applyFill="1" applyBorder="1" applyAlignment="1" applyProtection="1">
      <alignment horizontal="left"/>
      <protection hidden="1"/>
    </xf>
    <xf numFmtId="0" fontId="0" fillId="4" borderId="36" xfId="0" applyFill="1" applyBorder="1" applyAlignment="1" applyProtection="1">
      <alignment horizontal="left"/>
      <protection hidden="1"/>
    </xf>
    <xf numFmtId="0" fontId="0" fillId="4" borderId="37" xfId="0" applyFill="1" applyBorder="1" applyAlignment="1" applyProtection="1">
      <alignment horizontal="left"/>
      <protection hidden="1"/>
    </xf>
    <xf numFmtId="49" fontId="0" fillId="4" borderId="1" xfId="0" applyNumberFormat="1" applyFill="1" applyBorder="1" applyAlignment="1">
      <alignment horizontal="center"/>
    </xf>
    <xf numFmtId="14" fontId="0" fillId="4" borderId="36" xfId="0" applyNumberFormat="1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3" xfId="0" applyFill="1" applyBorder="1" applyAlignment="1" applyProtection="1">
      <alignment horizontal="left"/>
      <protection hidden="1"/>
    </xf>
    <xf numFmtId="0" fontId="0" fillId="4" borderId="14" xfId="0" applyFill="1" applyBorder="1" applyAlignment="1" applyProtection="1">
      <alignment horizontal="left"/>
      <protection hidden="1"/>
    </xf>
    <xf numFmtId="0" fontId="0" fillId="4" borderId="7" xfId="0" applyFill="1" applyBorder="1" applyAlignment="1" applyProtection="1">
      <alignment horizontal="left"/>
      <protection hidden="1"/>
    </xf>
    <xf numFmtId="0" fontId="0" fillId="4" borderId="1" xfId="0" applyFill="1" applyBorder="1" applyAlignment="1" applyProtection="1">
      <alignment horizontal="left"/>
      <protection hidden="1"/>
    </xf>
    <xf numFmtId="0" fontId="0" fillId="4" borderId="16" xfId="0" applyFill="1" applyBorder="1" applyAlignment="1" applyProtection="1">
      <alignment horizontal="left"/>
      <protection hidden="1"/>
    </xf>
    <xf numFmtId="0" fontId="0" fillId="4" borderId="17" xfId="0" applyFill="1" applyBorder="1" applyAlignment="1" applyProtection="1">
      <alignment horizontal="left"/>
      <protection hidden="1"/>
    </xf>
    <xf numFmtId="0" fontId="0" fillId="4" borderId="31" xfId="0" applyFill="1" applyBorder="1" applyAlignment="1">
      <alignment horizontal="left"/>
    </xf>
    <xf numFmtId="0" fontId="0" fillId="4" borderId="12" xfId="0" applyFill="1" applyBorder="1" applyAlignment="1">
      <alignment horizontal="left"/>
    </xf>
    <xf numFmtId="0" fontId="0" fillId="4" borderId="25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6" fillId="4" borderId="14" xfId="0" applyFont="1" applyFill="1" applyBorder="1" applyAlignment="1" applyProtection="1">
      <alignment horizontal="center"/>
      <protection hidden="1"/>
    </xf>
    <xf numFmtId="0" fontId="0" fillId="4" borderId="1" xfId="0" applyFill="1" applyBorder="1" applyAlignment="1" applyProtection="1">
      <alignment horizontal="center"/>
      <protection hidden="1"/>
    </xf>
    <xf numFmtId="0" fontId="0" fillId="4" borderId="17" xfId="0" applyFill="1" applyBorder="1" applyAlignment="1" applyProtection="1">
      <alignment horizontal="center"/>
      <protection hidden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13" xfId="0" applyFill="1" applyBorder="1" applyAlignment="1">
      <alignment horizontal="left"/>
    </xf>
    <xf numFmtId="0" fontId="0" fillId="4" borderId="1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9" fillId="0" borderId="0" xfId="0" applyFont="1"/>
  </cellXfs>
  <cellStyles count="4">
    <cellStyle name="20% - Accent1" xfId="3" builtinId="30"/>
    <cellStyle name="Neutral" xfId="1" builtinId="28"/>
    <cellStyle name="Normal" xfId="0" builtinId="0"/>
    <cellStyle name="Percent" xfId="2" builtinId="5"/>
  </cellStyles>
  <dxfs count="4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</dxfs>
  <tableStyles count="1" defaultTableStyle="TableStyleMedium2" defaultPivotStyle="PivotStyleLight16">
    <tableStyle name="Invisible" pivot="0" table="0" count="0" xr9:uid="{1D674B60-C602-4432-B0E1-77867A66409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Report!$F$5</c:f>
          <c:strCache>
            <c:ptCount val="1"/>
            <c:pt idx="0">
              <c:v>L08-004637-01</c:v>
            </c:pt>
          </c:strCache>
        </c:strRef>
      </c:tx>
      <c:layout>
        <c:manualLayout>
          <c:xMode val="edge"/>
          <c:yMode val="edge"/>
          <c:x val="0.3567752379763690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6769840942913"/>
          <c:y val="0.11449708507449638"/>
          <c:w val="0.81414545695828822"/>
          <c:h val="0.68330788323987812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7613039"/>
        <c:axId val="87761678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Report!$Q$23</c15:sqref>
                        </c15:formulaRef>
                      </c:ext>
                    </c:extLst>
                    <c:strCache>
                      <c:ptCount val="1"/>
                      <c:pt idx="0">
                        <c:v>Count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Report!$R$22:$V$22</c15:sqref>
                        </c15:formulaRef>
                      </c:ext>
                    </c:extLst>
                    <c:strCache>
                      <c:ptCount val="5"/>
                      <c:pt idx="0">
                        <c:v>1.0A</c:v>
                      </c:pt>
                      <c:pt idx="1">
                        <c:v>1.0B</c:v>
                      </c:pt>
                      <c:pt idx="2">
                        <c:v>4.5A</c:v>
                      </c:pt>
                      <c:pt idx="3">
                        <c:v>4.5B</c:v>
                      </c:pt>
                      <c:pt idx="4">
                        <c:v>4.5C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Report!$R$23:$V$23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17</c:v>
                      </c:pt>
                      <c:pt idx="1">
                        <c:v>17</c:v>
                      </c:pt>
                      <c:pt idx="2">
                        <c:v>17</c:v>
                      </c:pt>
                      <c:pt idx="3">
                        <c:v>17</c:v>
                      </c:pt>
                      <c:pt idx="4">
                        <c:v>17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DC3-43A9-88CF-ECFA8EC2422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Report!$Q$24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stdDev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Report!$R$22:$V$22</c:f>
              <c:strCache>
                <c:ptCount val="5"/>
                <c:pt idx="0">
                  <c:v>1.0A</c:v>
                </c:pt>
                <c:pt idx="1">
                  <c:v>1.0B</c:v>
                </c:pt>
                <c:pt idx="2">
                  <c:v>4.5A</c:v>
                </c:pt>
                <c:pt idx="3">
                  <c:v>4.5B</c:v>
                </c:pt>
                <c:pt idx="4">
                  <c:v>4.5C</c:v>
                </c:pt>
              </c:strCache>
            </c:strRef>
          </c:cat>
          <c:val>
            <c:numRef>
              <c:f>Report!$R$24:$V$24</c:f>
              <c:numCache>
                <c:formatCode>0.000</c:formatCode>
                <c:ptCount val="5"/>
                <c:pt idx="0">
                  <c:v>5.2352941176470609E-2</c:v>
                </c:pt>
                <c:pt idx="1">
                  <c:v>5.2294117647058845E-2</c:v>
                </c:pt>
                <c:pt idx="2">
                  <c:v>5.1941176470588254E-2</c:v>
                </c:pt>
                <c:pt idx="3">
                  <c:v>5.1764705882352963E-2</c:v>
                </c:pt>
                <c:pt idx="4">
                  <c:v>5.1764705882352963E-2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C3-43A9-88CF-ECFA8EC2422E}"/>
            </c:ext>
          </c:extLst>
        </c:ser>
        <c:ser>
          <c:idx val="2"/>
          <c:order val="2"/>
          <c:tx>
            <c:strRef>
              <c:f>Report!$Q$25</c:f>
              <c:strCache>
                <c:ptCount val="1"/>
                <c:pt idx="0">
                  <c:v>Stdev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Report!$R$22:$V$22</c:f>
              <c:strCache>
                <c:ptCount val="5"/>
                <c:pt idx="0">
                  <c:v>1.0A</c:v>
                </c:pt>
                <c:pt idx="1">
                  <c:v>1.0B</c:v>
                </c:pt>
                <c:pt idx="2">
                  <c:v>4.5A</c:v>
                </c:pt>
                <c:pt idx="3">
                  <c:v>4.5B</c:v>
                </c:pt>
                <c:pt idx="4">
                  <c:v>4.5C</c:v>
                </c:pt>
              </c:strCache>
            </c:strRef>
          </c:cat>
          <c:val>
            <c:numRef>
              <c:f>Report!$R$25:$V$25</c:f>
              <c:numCache>
                <c:formatCode>0.000</c:formatCode>
                <c:ptCount val="5"/>
                <c:pt idx="0">
                  <c:v>1.1147408034263072E-3</c:v>
                </c:pt>
                <c:pt idx="1">
                  <c:v>1.4037764192684381E-3</c:v>
                </c:pt>
                <c:pt idx="2">
                  <c:v>1.2976222599091636E-3</c:v>
                </c:pt>
                <c:pt idx="3">
                  <c:v>1.3932610920384713E-3</c:v>
                </c:pt>
                <c:pt idx="4">
                  <c:v>1.5624264688580496E-3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C3-43A9-88CF-ECFA8EC2422E}"/>
            </c:ext>
          </c:extLst>
        </c:ser>
        <c:ser>
          <c:idx val="3"/>
          <c:order val="3"/>
          <c:tx>
            <c:strRef>
              <c:f>Report!$Q$26</c:f>
              <c:strCache>
                <c:ptCount val="1"/>
                <c:pt idx="0">
                  <c:v>USL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Report!$R$22:$V$22</c:f>
              <c:strCache>
                <c:ptCount val="5"/>
                <c:pt idx="0">
                  <c:v>1.0A</c:v>
                </c:pt>
                <c:pt idx="1">
                  <c:v>1.0B</c:v>
                </c:pt>
                <c:pt idx="2">
                  <c:v>4.5A</c:v>
                </c:pt>
                <c:pt idx="3">
                  <c:v>4.5B</c:v>
                </c:pt>
                <c:pt idx="4">
                  <c:v>4.5C</c:v>
                </c:pt>
              </c:strCache>
            </c:strRef>
          </c:cat>
          <c:val>
            <c:numRef>
              <c:f>Report!$R$26:$V$26</c:f>
              <c:numCache>
                <c:formatCode>General</c:formatCode>
                <c:ptCount val="5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C3-43A9-88CF-ECFA8EC2422E}"/>
            </c:ext>
          </c:extLst>
        </c:ser>
        <c:ser>
          <c:idx val="4"/>
          <c:order val="4"/>
          <c:tx>
            <c:strRef>
              <c:f>Report!$Q$27</c:f>
              <c:strCache>
                <c:ptCount val="1"/>
                <c:pt idx="0">
                  <c:v>LSL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Report!$R$22:$V$22</c:f>
              <c:strCache>
                <c:ptCount val="5"/>
                <c:pt idx="0">
                  <c:v>1.0A</c:v>
                </c:pt>
                <c:pt idx="1">
                  <c:v>1.0B</c:v>
                </c:pt>
                <c:pt idx="2">
                  <c:v>4.5A</c:v>
                </c:pt>
                <c:pt idx="3">
                  <c:v>4.5B</c:v>
                </c:pt>
                <c:pt idx="4">
                  <c:v>4.5C</c:v>
                </c:pt>
              </c:strCache>
            </c:strRef>
          </c:cat>
          <c:val>
            <c:numRef>
              <c:f>Report!$R$27:$V$27</c:f>
              <c:numCache>
                <c:formatCode>General</c:formatCode>
                <c:ptCount val="5"/>
                <c:pt idx="0">
                  <c:v>4.4999999999999998E-2</c:v>
                </c:pt>
                <c:pt idx="1">
                  <c:v>4.4999999999999998E-2</c:v>
                </c:pt>
                <c:pt idx="2">
                  <c:v>4.4999999999999998E-2</c:v>
                </c:pt>
                <c:pt idx="3">
                  <c:v>4.4999999999999998E-2</c:v>
                </c:pt>
                <c:pt idx="4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C3-43A9-88CF-ECFA8EC2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453135"/>
        <c:axId val="880454383"/>
      </c:lineChart>
      <c:catAx>
        <c:axId val="880453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454383"/>
        <c:crosses val="autoZero"/>
        <c:auto val="1"/>
        <c:lblAlgn val="ctr"/>
        <c:lblOffset val="100"/>
        <c:noMultiLvlLbl val="0"/>
      </c:catAx>
      <c:valAx>
        <c:axId val="880454383"/>
        <c:scaling>
          <c:orientation val="minMax"/>
          <c:min val="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453135"/>
        <c:crosses val="autoZero"/>
        <c:crossBetween val="between"/>
      </c:valAx>
      <c:valAx>
        <c:axId val="877616783"/>
        <c:scaling>
          <c:orientation val="minMax"/>
          <c:max val="75"/>
          <c:min val="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13039"/>
        <c:crosses val="max"/>
        <c:crossBetween val="between"/>
        <c:majorUnit val="15"/>
      </c:valAx>
      <c:catAx>
        <c:axId val="87761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76167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114300</xdr:colOff>
          <xdr:row>7</xdr:row>
          <xdr:rowOff>104775</xdr:rowOff>
        </xdr:from>
        <xdr:to>
          <xdr:col>25</xdr:col>
          <xdr:colOff>542925</xdr:colOff>
          <xdr:row>9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95250</xdr:colOff>
          <xdr:row>4</xdr:row>
          <xdr:rowOff>66675</xdr:rowOff>
        </xdr:from>
        <xdr:to>
          <xdr:col>25</xdr:col>
          <xdr:colOff>504825</xdr:colOff>
          <xdr:row>6</xdr:row>
          <xdr:rowOff>104775</xdr:rowOff>
        </xdr:to>
        <xdr:sp macro="" textlink="">
          <xdr:nvSpPr>
            <xdr:cNvPr id="6146" name="Button 2" descr="Clear Raw Data&#10;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87595</xdr:colOff>
      <xdr:row>4</xdr:row>
      <xdr:rowOff>99673</xdr:rowOff>
    </xdr:from>
    <xdr:to>
      <xdr:col>22</xdr:col>
      <xdr:colOff>467745</xdr:colOff>
      <xdr:row>18</xdr:row>
      <xdr:rowOff>127567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123825</xdr:colOff>
          <xdr:row>10</xdr:row>
          <xdr:rowOff>76200</xdr:rowOff>
        </xdr:from>
        <xdr:to>
          <xdr:col>25</xdr:col>
          <xdr:colOff>495300</xdr:colOff>
          <xdr:row>12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6155-6C56-4566-B914-205E6435B40B}">
  <sheetPr codeName="Sheet1"/>
  <dimension ref="A1:I106"/>
  <sheetViews>
    <sheetView workbookViewId="0">
      <selection sqref="A1:I35"/>
    </sheetView>
  </sheetViews>
  <sheetFormatPr defaultColWidth="10" defaultRowHeight="15" x14ac:dyDescent="0.25"/>
  <cols>
    <col min="1" max="1" width="9.7109375" bestFit="1" customWidth="1"/>
    <col min="2" max="2" width="10.42578125" style="39" customWidth="1"/>
    <col min="3" max="3" width="71.42578125" bestFit="1" customWidth="1"/>
    <col min="4" max="4" width="51.7109375" bestFit="1" customWidth="1"/>
    <col min="5" max="9" width="5.5703125" bestFit="1" customWidth="1"/>
    <col min="11" max="11" width="51.7109375" bestFit="1" customWidth="1"/>
  </cols>
  <sheetData>
    <row r="1" spans="1:9" x14ac:dyDescent="0.25">
      <c r="A1" s="162" t="s">
        <v>48</v>
      </c>
      <c r="B1" t="s">
        <v>49</v>
      </c>
      <c r="C1" t="s">
        <v>50</v>
      </c>
      <c r="D1" t="s">
        <v>51</v>
      </c>
      <c r="E1" t="s">
        <v>0</v>
      </c>
      <c r="F1" t="s">
        <v>1</v>
      </c>
      <c r="G1" t="s">
        <v>2</v>
      </c>
      <c r="H1" t="s">
        <v>3</v>
      </c>
      <c r="I1" t="s">
        <v>4</v>
      </c>
    </row>
    <row r="2" spans="1:9" x14ac:dyDescent="0.25">
      <c r="A2" t="s">
        <v>52</v>
      </c>
      <c r="B2" t="s">
        <v>53</v>
      </c>
      <c r="C2" s="162" t="s">
        <v>178</v>
      </c>
      <c r="D2" t="s">
        <v>54</v>
      </c>
      <c r="E2" t="s">
        <v>55</v>
      </c>
      <c r="F2" t="s">
        <v>56</v>
      </c>
      <c r="G2" t="s">
        <v>56</v>
      </c>
      <c r="H2" t="s">
        <v>55</v>
      </c>
      <c r="I2" t="s">
        <v>55</v>
      </c>
    </row>
    <row r="3" spans="1:9" x14ac:dyDescent="0.25">
      <c r="A3" t="s">
        <v>52</v>
      </c>
      <c r="B3" t="s">
        <v>53</v>
      </c>
      <c r="C3" s="162" t="s">
        <v>178</v>
      </c>
      <c r="D3" t="s">
        <v>57</v>
      </c>
      <c r="E3" t="s">
        <v>55</v>
      </c>
      <c r="F3" t="s">
        <v>55</v>
      </c>
      <c r="G3" t="s">
        <v>56</v>
      </c>
      <c r="H3" t="s">
        <v>55</v>
      </c>
      <c r="I3" t="s">
        <v>55</v>
      </c>
    </row>
    <row r="4" spans="1:9" x14ac:dyDescent="0.25">
      <c r="A4" t="s">
        <v>52</v>
      </c>
      <c r="B4" t="s">
        <v>58</v>
      </c>
      <c r="C4" s="162" t="s">
        <v>178</v>
      </c>
      <c r="D4" t="s">
        <v>59</v>
      </c>
      <c r="E4" t="s">
        <v>55</v>
      </c>
      <c r="F4" t="s">
        <v>55</v>
      </c>
      <c r="G4" t="s">
        <v>56</v>
      </c>
      <c r="H4" t="s">
        <v>55</v>
      </c>
      <c r="I4" t="s">
        <v>55</v>
      </c>
    </row>
    <row r="5" spans="1:9" x14ac:dyDescent="0.25">
      <c r="A5" t="s">
        <v>52</v>
      </c>
      <c r="B5" t="s">
        <v>58</v>
      </c>
      <c r="C5" s="162" t="s">
        <v>178</v>
      </c>
      <c r="D5" t="s">
        <v>60</v>
      </c>
      <c r="E5" t="s">
        <v>55</v>
      </c>
      <c r="F5" t="s">
        <v>61</v>
      </c>
      <c r="G5" t="s">
        <v>61</v>
      </c>
      <c r="H5" t="s">
        <v>61</v>
      </c>
      <c r="I5" t="s">
        <v>62</v>
      </c>
    </row>
    <row r="6" spans="1:9" x14ac:dyDescent="0.25">
      <c r="A6" t="s">
        <v>52</v>
      </c>
      <c r="B6" t="s">
        <v>63</v>
      </c>
      <c r="C6" s="162" t="s">
        <v>178</v>
      </c>
      <c r="D6" t="s">
        <v>64</v>
      </c>
      <c r="E6" t="s">
        <v>65</v>
      </c>
      <c r="F6" t="s">
        <v>66</v>
      </c>
      <c r="G6" t="s">
        <v>66</v>
      </c>
      <c r="H6" t="s">
        <v>65</v>
      </c>
      <c r="I6" t="s">
        <v>65</v>
      </c>
    </row>
    <row r="7" spans="1:9" x14ac:dyDescent="0.25">
      <c r="A7" t="s">
        <v>52</v>
      </c>
      <c r="B7" t="s">
        <v>63</v>
      </c>
      <c r="C7" s="162" t="s">
        <v>178</v>
      </c>
      <c r="D7" t="s">
        <v>67</v>
      </c>
      <c r="E7" t="s">
        <v>56</v>
      </c>
      <c r="F7" t="s">
        <v>68</v>
      </c>
      <c r="G7" t="s">
        <v>56</v>
      </c>
      <c r="H7" t="s">
        <v>68</v>
      </c>
      <c r="I7" t="s">
        <v>56</v>
      </c>
    </row>
    <row r="8" spans="1:9" x14ac:dyDescent="0.25">
      <c r="A8" t="s">
        <v>52</v>
      </c>
      <c r="B8" t="s">
        <v>63</v>
      </c>
      <c r="C8" s="162" t="s">
        <v>178</v>
      </c>
      <c r="D8" t="s">
        <v>69</v>
      </c>
      <c r="E8" t="s">
        <v>56</v>
      </c>
      <c r="F8" t="s">
        <v>56</v>
      </c>
      <c r="G8" t="s">
        <v>55</v>
      </c>
      <c r="H8" t="s">
        <v>70</v>
      </c>
      <c r="I8" t="s">
        <v>55</v>
      </c>
    </row>
    <row r="9" spans="1:9" x14ac:dyDescent="0.25">
      <c r="A9" t="s">
        <v>52</v>
      </c>
      <c r="B9" t="s">
        <v>63</v>
      </c>
      <c r="C9" s="162" t="s">
        <v>178</v>
      </c>
      <c r="D9" t="s">
        <v>71</v>
      </c>
      <c r="E9" t="s">
        <v>56</v>
      </c>
      <c r="F9" t="s">
        <v>56</v>
      </c>
      <c r="G9" t="s">
        <v>56</v>
      </c>
      <c r="H9" t="s">
        <v>56</v>
      </c>
      <c r="I9" t="s">
        <v>70</v>
      </c>
    </row>
    <row r="10" spans="1:9" x14ac:dyDescent="0.25">
      <c r="A10" t="s">
        <v>52</v>
      </c>
      <c r="B10" t="s">
        <v>63</v>
      </c>
      <c r="C10" s="162" t="s">
        <v>178</v>
      </c>
      <c r="D10" t="s">
        <v>72</v>
      </c>
      <c r="E10" t="s">
        <v>56</v>
      </c>
      <c r="F10" t="s">
        <v>56</v>
      </c>
      <c r="G10" t="s">
        <v>56</v>
      </c>
      <c r="H10" t="s">
        <v>56</v>
      </c>
      <c r="I10" t="s">
        <v>70</v>
      </c>
    </row>
    <row r="11" spans="1:9" x14ac:dyDescent="0.25">
      <c r="A11" t="s">
        <v>52</v>
      </c>
      <c r="B11" t="s">
        <v>73</v>
      </c>
      <c r="C11" s="162" t="s">
        <v>178</v>
      </c>
      <c r="D11" t="s">
        <v>74</v>
      </c>
      <c r="E11" t="s">
        <v>55</v>
      </c>
      <c r="F11" t="s">
        <v>55</v>
      </c>
      <c r="G11" t="s">
        <v>55</v>
      </c>
      <c r="H11" t="s">
        <v>55</v>
      </c>
      <c r="I11" t="s">
        <v>55</v>
      </c>
    </row>
    <row r="12" spans="1:9" x14ac:dyDescent="0.25">
      <c r="A12" t="s">
        <v>52</v>
      </c>
      <c r="B12" t="s">
        <v>73</v>
      </c>
      <c r="C12" s="162" t="s">
        <v>178</v>
      </c>
      <c r="D12" t="s">
        <v>75</v>
      </c>
      <c r="E12" t="s">
        <v>55</v>
      </c>
      <c r="F12" t="s">
        <v>55</v>
      </c>
      <c r="G12" t="s">
        <v>56</v>
      </c>
      <c r="H12" t="s">
        <v>55</v>
      </c>
      <c r="I12" t="s">
        <v>55</v>
      </c>
    </row>
    <row r="13" spans="1:9" x14ac:dyDescent="0.25">
      <c r="A13" t="s">
        <v>52</v>
      </c>
      <c r="B13" t="s">
        <v>73</v>
      </c>
      <c r="C13" s="162" t="s">
        <v>178</v>
      </c>
      <c r="D13" t="s">
        <v>76</v>
      </c>
      <c r="E13" t="s">
        <v>56</v>
      </c>
      <c r="F13" t="s">
        <v>55</v>
      </c>
      <c r="G13" t="s">
        <v>55</v>
      </c>
      <c r="H13" t="s">
        <v>55</v>
      </c>
      <c r="I13" t="s">
        <v>56</v>
      </c>
    </row>
    <row r="14" spans="1:9" x14ac:dyDescent="0.25">
      <c r="A14" t="s">
        <v>52</v>
      </c>
      <c r="B14" t="s">
        <v>73</v>
      </c>
      <c r="C14" s="162" t="s">
        <v>178</v>
      </c>
      <c r="D14" t="s">
        <v>77</v>
      </c>
      <c r="E14" t="s">
        <v>56</v>
      </c>
      <c r="F14" t="s">
        <v>56</v>
      </c>
      <c r="G14" t="s">
        <v>55</v>
      </c>
      <c r="H14" t="s">
        <v>56</v>
      </c>
      <c r="I14" t="s">
        <v>56</v>
      </c>
    </row>
    <row r="15" spans="1:9" x14ac:dyDescent="0.25">
      <c r="A15" t="s">
        <v>52</v>
      </c>
      <c r="B15" t="s">
        <v>73</v>
      </c>
      <c r="C15" s="162" t="s">
        <v>178</v>
      </c>
      <c r="D15" t="s">
        <v>78</v>
      </c>
      <c r="E15" t="s">
        <v>55</v>
      </c>
      <c r="F15" t="s">
        <v>55</v>
      </c>
      <c r="G15" t="s">
        <v>55</v>
      </c>
      <c r="H15" t="s">
        <v>70</v>
      </c>
      <c r="I15" t="s">
        <v>56</v>
      </c>
    </row>
    <row r="16" spans="1:9" x14ac:dyDescent="0.25">
      <c r="A16" t="s">
        <v>52</v>
      </c>
      <c r="B16" t="s">
        <v>79</v>
      </c>
      <c r="C16" s="162" t="s">
        <v>178</v>
      </c>
      <c r="D16" t="s">
        <v>80</v>
      </c>
      <c r="E16" t="s">
        <v>62</v>
      </c>
      <c r="F16" t="s">
        <v>55</v>
      </c>
      <c r="G16" t="s">
        <v>55</v>
      </c>
      <c r="H16" t="s">
        <v>55</v>
      </c>
      <c r="I16" t="s">
        <v>62</v>
      </c>
    </row>
    <row r="17" spans="1:9" x14ac:dyDescent="0.25">
      <c r="A17" t="s">
        <v>52</v>
      </c>
      <c r="B17" t="s">
        <v>79</v>
      </c>
      <c r="C17" s="162" t="s">
        <v>178</v>
      </c>
      <c r="D17" t="s">
        <v>81</v>
      </c>
      <c r="E17" t="s">
        <v>55</v>
      </c>
      <c r="F17" t="s">
        <v>56</v>
      </c>
      <c r="G17" t="s">
        <v>55</v>
      </c>
      <c r="H17" t="s">
        <v>55</v>
      </c>
      <c r="I17" t="s">
        <v>55</v>
      </c>
    </row>
    <row r="18" spans="1:9" x14ac:dyDescent="0.25">
      <c r="A18" t="s">
        <v>52</v>
      </c>
      <c r="B18" t="s">
        <v>79</v>
      </c>
      <c r="C18" s="162" t="s">
        <v>178</v>
      </c>
      <c r="D18" t="s">
        <v>82</v>
      </c>
      <c r="E18" t="s">
        <v>68</v>
      </c>
      <c r="F18" t="s">
        <v>56</v>
      </c>
      <c r="G18" t="s">
        <v>56</v>
      </c>
      <c r="H18" t="s">
        <v>56</v>
      </c>
      <c r="I18" t="s">
        <v>56</v>
      </c>
    </row>
    <row r="19" spans="1:9" x14ac:dyDescent="0.25">
      <c r="A19" t="s">
        <v>52</v>
      </c>
      <c r="B19" t="s">
        <v>79</v>
      </c>
      <c r="C19" s="162" t="s">
        <v>178</v>
      </c>
      <c r="D19" t="s">
        <v>83</v>
      </c>
      <c r="E19" t="s">
        <v>56</v>
      </c>
      <c r="F19" t="s">
        <v>56</v>
      </c>
      <c r="G19" t="s">
        <v>68</v>
      </c>
      <c r="H19" t="s">
        <v>56</v>
      </c>
      <c r="I19" t="s">
        <v>55</v>
      </c>
    </row>
    <row r="20" spans="1:9" x14ac:dyDescent="0.25">
      <c r="A20" t="s">
        <v>52</v>
      </c>
      <c r="B20" t="s">
        <v>84</v>
      </c>
      <c r="C20" s="162" t="s">
        <v>178</v>
      </c>
      <c r="D20" t="s">
        <v>85</v>
      </c>
      <c r="E20" t="s">
        <v>56</v>
      </c>
      <c r="F20" t="s">
        <v>55</v>
      </c>
      <c r="G20" t="s">
        <v>55</v>
      </c>
      <c r="H20" t="s">
        <v>55</v>
      </c>
      <c r="I20" t="s">
        <v>55</v>
      </c>
    </row>
    <row r="21" spans="1:9" x14ac:dyDescent="0.25">
      <c r="A21" t="s">
        <v>52</v>
      </c>
      <c r="B21" t="s">
        <v>84</v>
      </c>
      <c r="C21" s="162" t="s">
        <v>178</v>
      </c>
      <c r="D21" t="s">
        <v>86</v>
      </c>
      <c r="E21" t="s">
        <v>68</v>
      </c>
      <c r="F21" t="s">
        <v>70</v>
      </c>
      <c r="G21" t="s">
        <v>56</v>
      </c>
      <c r="H21" t="s">
        <v>68</v>
      </c>
      <c r="I21" t="s">
        <v>68</v>
      </c>
    </row>
    <row r="22" spans="1:9" x14ac:dyDescent="0.25">
      <c r="A22" t="s">
        <v>52</v>
      </c>
      <c r="B22" t="s">
        <v>84</v>
      </c>
      <c r="C22" s="162" t="s">
        <v>178</v>
      </c>
      <c r="D22" t="s">
        <v>87</v>
      </c>
      <c r="E22" t="s">
        <v>62</v>
      </c>
      <c r="F22" t="s">
        <v>62</v>
      </c>
      <c r="G22" t="s">
        <v>62</v>
      </c>
      <c r="H22" t="s">
        <v>62</v>
      </c>
      <c r="I22" t="s">
        <v>62</v>
      </c>
    </row>
    <row r="23" spans="1:9" x14ac:dyDescent="0.25">
      <c r="A23" t="s">
        <v>52</v>
      </c>
      <c r="B23" t="s">
        <v>84</v>
      </c>
      <c r="C23" s="162" t="s">
        <v>178</v>
      </c>
      <c r="D23" t="s">
        <v>88</v>
      </c>
      <c r="E23" t="s">
        <v>66</v>
      </c>
      <c r="F23" t="s">
        <v>89</v>
      </c>
      <c r="G23" t="s">
        <v>66</v>
      </c>
      <c r="H23" t="s">
        <v>65</v>
      </c>
      <c r="I23" t="s">
        <v>65</v>
      </c>
    </row>
    <row r="24" spans="1:9" x14ac:dyDescent="0.25">
      <c r="A24" t="s">
        <v>52</v>
      </c>
      <c r="B24" t="s">
        <v>84</v>
      </c>
      <c r="C24" s="162" t="s">
        <v>178</v>
      </c>
      <c r="D24" t="s">
        <v>90</v>
      </c>
      <c r="E24" t="s">
        <v>70</v>
      </c>
      <c r="F24" t="s">
        <v>68</v>
      </c>
      <c r="G24" t="s">
        <v>68</v>
      </c>
      <c r="H24" t="s">
        <v>56</v>
      </c>
      <c r="I24" t="s">
        <v>68</v>
      </c>
    </row>
    <row r="25" spans="1:9" x14ac:dyDescent="0.25">
      <c r="A25" t="s">
        <v>52</v>
      </c>
      <c r="B25" t="s">
        <v>91</v>
      </c>
      <c r="C25" s="162" t="s">
        <v>178</v>
      </c>
      <c r="D25" t="s">
        <v>92</v>
      </c>
      <c r="E25" t="s">
        <v>68</v>
      </c>
      <c r="F25" t="s">
        <v>56</v>
      </c>
      <c r="G25" t="s">
        <v>56</v>
      </c>
      <c r="H25" t="s">
        <v>68</v>
      </c>
      <c r="I25" t="s">
        <v>55</v>
      </c>
    </row>
    <row r="26" spans="1:9" x14ac:dyDescent="0.25">
      <c r="A26" t="s">
        <v>52</v>
      </c>
      <c r="B26" t="s">
        <v>91</v>
      </c>
      <c r="C26" s="162" t="s">
        <v>178</v>
      </c>
      <c r="D26" t="s">
        <v>93</v>
      </c>
      <c r="E26" t="s">
        <v>68</v>
      </c>
      <c r="F26" t="s">
        <v>56</v>
      </c>
      <c r="G26" t="s">
        <v>56</v>
      </c>
      <c r="H26" t="s">
        <v>68</v>
      </c>
      <c r="I26" t="s">
        <v>68</v>
      </c>
    </row>
    <row r="27" spans="1:9" x14ac:dyDescent="0.25">
      <c r="A27" t="s">
        <v>52</v>
      </c>
      <c r="B27" t="s">
        <v>91</v>
      </c>
      <c r="C27" s="162" t="s">
        <v>178</v>
      </c>
      <c r="D27" t="s">
        <v>94</v>
      </c>
      <c r="E27" t="s">
        <v>56</v>
      </c>
      <c r="F27" t="s">
        <v>56</v>
      </c>
      <c r="G27" t="s">
        <v>56</v>
      </c>
      <c r="H27" t="s">
        <v>68</v>
      </c>
      <c r="I27" t="s">
        <v>56</v>
      </c>
    </row>
    <row r="28" spans="1:9" x14ac:dyDescent="0.25">
      <c r="A28" t="s">
        <v>52</v>
      </c>
      <c r="B28" t="s">
        <v>91</v>
      </c>
      <c r="C28" s="162" t="s">
        <v>178</v>
      </c>
      <c r="D28" t="s">
        <v>95</v>
      </c>
      <c r="E28" t="s">
        <v>56</v>
      </c>
      <c r="F28" t="s">
        <v>55</v>
      </c>
      <c r="G28" t="s">
        <v>56</v>
      </c>
      <c r="H28" t="s">
        <v>55</v>
      </c>
      <c r="I28" t="s">
        <v>56</v>
      </c>
    </row>
    <row r="29" spans="1:9" x14ac:dyDescent="0.25">
      <c r="A29" t="s">
        <v>52</v>
      </c>
      <c r="B29" t="s">
        <v>91</v>
      </c>
      <c r="C29" s="162" t="s">
        <v>178</v>
      </c>
      <c r="D29" t="s">
        <v>96</v>
      </c>
      <c r="E29" t="s">
        <v>55</v>
      </c>
      <c r="F29" t="s">
        <v>55</v>
      </c>
      <c r="G29" t="s">
        <v>55</v>
      </c>
      <c r="H29" t="s">
        <v>55</v>
      </c>
      <c r="I29" t="s">
        <v>55</v>
      </c>
    </row>
    <row r="30" spans="1:9" x14ac:dyDescent="0.25">
      <c r="A30" t="s">
        <v>52</v>
      </c>
      <c r="B30" t="s">
        <v>97</v>
      </c>
      <c r="C30" s="162" t="s">
        <v>178</v>
      </c>
      <c r="D30" t="s">
        <v>98</v>
      </c>
      <c r="E30" t="s">
        <v>56</v>
      </c>
      <c r="F30" t="s">
        <v>70</v>
      </c>
      <c r="G30" t="s">
        <v>56</v>
      </c>
      <c r="H30" t="s">
        <v>56</v>
      </c>
      <c r="I30" t="s">
        <v>68</v>
      </c>
    </row>
    <row r="31" spans="1:9" x14ac:dyDescent="0.25">
      <c r="A31" t="s">
        <v>52</v>
      </c>
      <c r="B31" t="s">
        <v>97</v>
      </c>
      <c r="C31" s="162" t="s">
        <v>178</v>
      </c>
      <c r="D31" t="s">
        <v>99</v>
      </c>
      <c r="E31" t="s">
        <v>56</v>
      </c>
      <c r="F31" t="s">
        <v>56</v>
      </c>
      <c r="G31" t="s">
        <v>56</v>
      </c>
      <c r="H31" t="s">
        <v>65</v>
      </c>
      <c r="I31" t="s">
        <v>68</v>
      </c>
    </row>
    <row r="32" spans="1:9" x14ac:dyDescent="0.25">
      <c r="A32" t="s">
        <v>52</v>
      </c>
      <c r="B32" t="s">
        <v>97</v>
      </c>
      <c r="C32" s="162" t="s">
        <v>178</v>
      </c>
      <c r="D32" t="s">
        <v>100</v>
      </c>
      <c r="E32" t="s">
        <v>56</v>
      </c>
      <c r="F32" t="s">
        <v>56</v>
      </c>
      <c r="G32" t="s">
        <v>55</v>
      </c>
      <c r="H32" t="s">
        <v>56</v>
      </c>
      <c r="I32" t="s">
        <v>56</v>
      </c>
    </row>
    <row r="33" spans="1:9" x14ac:dyDescent="0.25">
      <c r="A33" t="s">
        <v>52</v>
      </c>
      <c r="B33" t="s">
        <v>97</v>
      </c>
      <c r="C33" s="162" t="s">
        <v>178</v>
      </c>
      <c r="D33" t="s">
        <v>101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</row>
    <row r="34" spans="1:9" x14ac:dyDescent="0.25">
      <c r="A34" t="s">
        <v>52</v>
      </c>
      <c r="B34" t="s">
        <v>97</v>
      </c>
      <c r="C34" s="162" t="s">
        <v>178</v>
      </c>
      <c r="D34" t="s">
        <v>102</v>
      </c>
      <c r="E34" t="s">
        <v>55</v>
      </c>
      <c r="F34" t="s">
        <v>55</v>
      </c>
      <c r="G34" t="s">
        <v>56</v>
      </c>
      <c r="H34" t="s">
        <v>55</v>
      </c>
      <c r="I34" t="s">
        <v>55</v>
      </c>
    </row>
    <row r="35" spans="1:9" x14ac:dyDescent="0.25">
      <c r="A35" t="s">
        <v>52</v>
      </c>
      <c r="B35" t="s">
        <v>103</v>
      </c>
      <c r="C35" s="162" t="s">
        <v>178</v>
      </c>
      <c r="D35" t="s">
        <v>104</v>
      </c>
      <c r="E35" t="s">
        <v>68</v>
      </c>
      <c r="F35" t="s">
        <v>70</v>
      </c>
      <c r="G35" t="s">
        <v>68</v>
      </c>
      <c r="H35" t="s">
        <v>68</v>
      </c>
      <c r="I35" t="s">
        <v>66</v>
      </c>
    </row>
    <row r="36" spans="1:9" x14ac:dyDescent="0.25">
      <c r="B36"/>
    </row>
    <row r="37" spans="1:9" x14ac:dyDescent="0.25">
      <c r="B37"/>
    </row>
    <row r="38" spans="1:9" x14ac:dyDescent="0.25">
      <c r="B38"/>
    </row>
    <row r="39" spans="1:9" x14ac:dyDescent="0.25">
      <c r="B39"/>
    </row>
    <row r="40" spans="1:9" x14ac:dyDescent="0.25">
      <c r="B40"/>
    </row>
    <row r="41" spans="1:9" x14ac:dyDescent="0.25">
      <c r="B41"/>
    </row>
    <row r="42" spans="1:9" x14ac:dyDescent="0.25">
      <c r="B42"/>
    </row>
    <row r="43" spans="1:9" x14ac:dyDescent="0.25">
      <c r="B43"/>
    </row>
    <row r="44" spans="1:9" x14ac:dyDescent="0.25">
      <c r="B44"/>
    </row>
    <row r="45" spans="1:9" x14ac:dyDescent="0.25">
      <c r="B45"/>
    </row>
    <row r="46" spans="1:9" x14ac:dyDescent="0.25">
      <c r="B46"/>
    </row>
    <row r="47" spans="1:9" x14ac:dyDescent="0.25">
      <c r="B47"/>
    </row>
    <row r="48" spans="1:9" x14ac:dyDescent="0.25">
      <c r="B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AB7A8-2004-404B-8F05-32A6F4797379}">
  <sheetPr codeName="Sheet2"/>
  <dimension ref="A1:N201"/>
  <sheetViews>
    <sheetView workbookViewId="0">
      <selection sqref="A1:XFD1048576"/>
    </sheetView>
  </sheetViews>
  <sheetFormatPr defaultColWidth="11.42578125" defaultRowHeight="15" x14ac:dyDescent="0.25"/>
  <cols>
    <col min="1" max="1" width="9.7109375" bestFit="1" customWidth="1"/>
    <col min="2" max="2" width="8" style="25" bestFit="1" customWidth="1"/>
    <col min="3" max="3" width="19.28515625" bestFit="1" customWidth="1"/>
    <col min="4" max="4" width="41" bestFit="1" customWidth="1"/>
    <col min="5" max="9" width="5.5703125" style="1" bestFit="1" customWidth="1"/>
    <col min="10" max="10" width="6" bestFit="1" customWidth="1"/>
    <col min="11" max="11" width="6.85546875" bestFit="1" customWidth="1"/>
    <col min="12" max="12" width="5" bestFit="1" customWidth="1"/>
    <col min="13" max="13" width="9.42578125" bestFit="1" customWidth="1"/>
  </cols>
  <sheetData>
    <row r="1" spans="1:14" x14ac:dyDescent="0.25">
      <c r="A1" s="72" t="s">
        <v>48</v>
      </c>
      <c r="B1" s="73" t="s">
        <v>49</v>
      </c>
      <c r="C1" s="72" t="s">
        <v>50</v>
      </c>
      <c r="D1" s="72" t="s">
        <v>51</v>
      </c>
      <c r="E1" s="74" t="s">
        <v>0</v>
      </c>
      <c r="F1" s="74" t="s">
        <v>1</v>
      </c>
      <c r="G1" s="74" t="s">
        <v>2</v>
      </c>
      <c r="H1" s="74" t="s">
        <v>3</v>
      </c>
      <c r="I1" s="74" t="s">
        <v>4</v>
      </c>
      <c r="J1" s="72" t="s">
        <v>174</v>
      </c>
      <c r="K1" s="72" t="s">
        <v>175</v>
      </c>
      <c r="L1" s="72" t="s">
        <v>176</v>
      </c>
      <c r="M1" s="72" t="s">
        <v>177</v>
      </c>
    </row>
    <row r="2" spans="1:14" x14ac:dyDescent="0.25">
      <c r="A2" s="72" t="s">
        <v>52</v>
      </c>
      <c r="B2" s="73" t="s">
        <v>53</v>
      </c>
      <c r="C2" s="72" t="s">
        <v>179</v>
      </c>
      <c r="D2" s="72" t="s">
        <v>105</v>
      </c>
      <c r="E2" s="74">
        <v>5.2999999999999999E-2</v>
      </c>
      <c r="F2" s="74">
        <v>5.1999999999999998E-2</v>
      </c>
      <c r="G2" s="74">
        <v>5.1999999999999998E-2</v>
      </c>
      <c r="H2" s="74">
        <v>5.2999999999999999E-2</v>
      </c>
      <c r="I2" s="74">
        <v>5.2999999999999999E-2</v>
      </c>
      <c r="J2" s="72">
        <v>1</v>
      </c>
      <c r="K2" s="72">
        <v>15</v>
      </c>
      <c r="L2" s="72" t="str">
        <f>J2&amp;K2</f>
        <v>115</v>
      </c>
      <c r="M2" s="72" t="s">
        <v>139</v>
      </c>
      <c r="N2" t="s">
        <v>140</v>
      </c>
    </row>
    <row r="3" spans="1:14" x14ac:dyDescent="0.25">
      <c r="A3" s="72" t="s">
        <v>52</v>
      </c>
      <c r="B3" s="73" t="s">
        <v>79</v>
      </c>
      <c r="C3" s="72" t="s">
        <v>179</v>
      </c>
      <c r="D3" s="72" t="s">
        <v>122</v>
      </c>
      <c r="E3" s="74">
        <v>5.1999999999999998E-2</v>
      </c>
      <c r="F3" s="74">
        <v>5.1999999999999998E-2</v>
      </c>
      <c r="G3" s="74">
        <v>5.0999999999999997E-2</v>
      </c>
      <c r="H3" s="74">
        <v>5.1999999999999998E-2</v>
      </c>
      <c r="I3" s="74">
        <v>5.2999999999999999E-2</v>
      </c>
      <c r="J3" s="72">
        <v>1</v>
      </c>
      <c r="K3" s="72">
        <v>40</v>
      </c>
      <c r="L3" s="72" t="str">
        <f>J3&amp;K3</f>
        <v>140</v>
      </c>
      <c r="M3" s="72" t="s">
        <v>139</v>
      </c>
      <c r="N3" t="s">
        <v>157</v>
      </c>
    </row>
    <row r="4" spans="1:14" x14ac:dyDescent="0.25">
      <c r="A4" s="72" t="s">
        <v>52</v>
      </c>
      <c r="B4" s="73" t="s">
        <v>53</v>
      </c>
      <c r="C4" s="72" t="s">
        <v>179</v>
      </c>
      <c r="D4" s="72" t="s">
        <v>106</v>
      </c>
      <c r="E4" s="74">
        <v>5.2999999999999999E-2</v>
      </c>
      <c r="F4" s="74">
        <v>5.2999999999999999E-2</v>
      </c>
      <c r="G4" s="74">
        <v>5.1999999999999998E-2</v>
      </c>
      <c r="H4" s="74">
        <v>5.2999999999999999E-2</v>
      </c>
      <c r="I4" s="74">
        <v>5.2999999999999999E-2</v>
      </c>
      <c r="J4" s="72">
        <v>2</v>
      </c>
      <c r="K4" s="72">
        <v>15</v>
      </c>
      <c r="L4" s="72" t="str">
        <f>J4&amp;K4</f>
        <v>215</v>
      </c>
      <c r="M4" s="72" t="s">
        <v>139</v>
      </c>
      <c r="N4" t="s">
        <v>141</v>
      </c>
    </row>
    <row r="5" spans="1:14" x14ac:dyDescent="0.25">
      <c r="A5" s="72" t="s">
        <v>52</v>
      </c>
      <c r="B5" s="73" t="s">
        <v>84</v>
      </c>
      <c r="C5" s="72" t="s">
        <v>179</v>
      </c>
      <c r="D5" s="72" t="s">
        <v>123</v>
      </c>
      <c r="E5" s="74">
        <v>5.1999999999999998E-2</v>
      </c>
      <c r="F5" s="74">
        <v>5.2999999999999999E-2</v>
      </c>
      <c r="G5" s="74">
        <v>5.2999999999999999E-2</v>
      </c>
      <c r="H5" s="74">
        <v>5.2999999999999999E-2</v>
      </c>
      <c r="I5" s="74">
        <v>5.2999999999999999E-2</v>
      </c>
      <c r="J5" s="72">
        <v>2</v>
      </c>
      <c r="K5" s="72">
        <v>40</v>
      </c>
      <c r="L5" s="72" t="str">
        <f>J5&amp;K5</f>
        <v>240</v>
      </c>
      <c r="M5" s="72" t="s">
        <v>139</v>
      </c>
      <c r="N5" t="s">
        <v>158</v>
      </c>
    </row>
    <row r="6" spans="1:14" x14ac:dyDescent="0.25">
      <c r="A6" s="72" t="s">
        <v>52</v>
      </c>
      <c r="B6" s="73" t="s">
        <v>58</v>
      </c>
      <c r="C6" s="72" t="s">
        <v>179</v>
      </c>
      <c r="D6" s="72" t="s">
        <v>107</v>
      </c>
      <c r="E6" s="74">
        <v>5.2999999999999999E-2</v>
      </c>
      <c r="F6" s="74">
        <v>5.2999999999999999E-2</v>
      </c>
      <c r="G6" s="74">
        <v>5.1999999999999998E-2</v>
      </c>
      <c r="H6" s="74">
        <v>5.2999999999999999E-2</v>
      </c>
      <c r="I6" s="74">
        <v>5.2999999999999999E-2</v>
      </c>
      <c r="J6" s="72">
        <v>3</v>
      </c>
      <c r="K6" s="72">
        <v>15</v>
      </c>
      <c r="L6" s="72" t="str">
        <f>J6&amp;K6</f>
        <v>315</v>
      </c>
      <c r="M6" s="72" t="s">
        <v>139</v>
      </c>
      <c r="N6" t="s">
        <v>142</v>
      </c>
    </row>
    <row r="7" spans="1:14" x14ac:dyDescent="0.25">
      <c r="A7" s="72" t="s">
        <v>52</v>
      </c>
      <c r="B7" s="73" t="s">
        <v>84</v>
      </c>
      <c r="C7" s="72" t="s">
        <v>179</v>
      </c>
      <c r="D7" s="72" t="s">
        <v>124</v>
      </c>
      <c r="E7" s="74">
        <v>5.0999999999999997E-2</v>
      </c>
      <c r="F7" s="74" t="s">
        <v>70</v>
      </c>
      <c r="G7" s="74">
        <v>5.1999999999999998E-2</v>
      </c>
      <c r="H7" s="74">
        <v>5.0999999999999997E-2</v>
      </c>
      <c r="I7" s="74">
        <v>5.0999999999999997E-2</v>
      </c>
      <c r="J7" s="72">
        <v>3</v>
      </c>
      <c r="K7" s="72">
        <v>40</v>
      </c>
      <c r="L7" s="72" t="str">
        <f>J7&amp;K7</f>
        <v>340</v>
      </c>
      <c r="M7" s="72" t="s">
        <v>139</v>
      </c>
      <c r="N7" t="s">
        <v>159</v>
      </c>
    </row>
    <row r="8" spans="1:14" x14ac:dyDescent="0.25">
      <c r="A8" s="72" t="s">
        <v>52</v>
      </c>
      <c r="B8" s="73" t="s">
        <v>58</v>
      </c>
      <c r="C8" s="72" t="s">
        <v>179</v>
      </c>
      <c r="D8" s="72" t="s">
        <v>108</v>
      </c>
      <c r="E8" s="74">
        <v>5.2999999999999999E-2</v>
      </c>
      <c r="F8" s="74">
        <v>5.5E-2</v>
      </c>
      <c r="G8" s="74">
        <v>5.5E-2</v>
      </c>
      <c r="H8" s="74">
        <v>5.5E-2</v>
      </c>
      <c r="I8" s="74">
        <v>5.3999999999999999E-2</v>
      </c>
      <c r="J8" s="72">
        <v>4</v>
      </c>
      <c r="K8" s="72">
        <v>15</v>
      </c>
      <c r="L8" s="72" t="str">
        <f>J8&amp;K8</f>
        <v>415</v>
      </c>
      <c r="M8" s="72" t="s">
        <v>139</v>
      </c>
      <c r="N8" t="s">
        <v>143</v>
      </c>
    </row>
    <row r="9" spans="1:14" x14ac:dyDescent="0.25">
      <c r="A9" s="72" t="s">
        <v>52</v>
      </c>
      <c r="B9" s="73" t="s">
        <v>84</v>
      </c>
      <c r="C9" s="72" t="s">
        <v>179</v>
      </c>
      <c r="D9" s="72" t="s">
        <v>125</v>
      </c>
      <c r="E9" s="74">
        <v>5.3999999999999999E-2</v>
      </c>
      <c r="F9" s="74">
        <v>5.3999999999999999E-2</v>
      </c>
      <c r="G9" s="74">
        <v>5.3999999999999999E-2</v>
      </c>
      <c r="H9" s="74">
        <v>5.3999999999999999E-2</v>
      </c>
      <c r="I9" s="74">
        <v>5.3999999999999999E-2</v>
      </c>
      <c r="J9" s="72">
        <v>4</v>
      </c>
      <c r="K9" s="72">
        <v>40</v>
      </c>
      <c r="L9" s="72" t="str">
        <f>J9&amp;K9</f>
        <v>440</v>
      </c>
      <c r="M9" s="72" t="s">
        <v>139</v>
      </c>
      <c r="N9" t="s">
        <v>160</v>
      </c>
    </row>
    <row r="10" spans="1:14" x14ac:dyDescent="0.25">
      <c r="A10" s="72" t="s">
        <v>52</v>
      </c>
      <c r="B10" s="73" t="s">
        <v>63</v>
      </c>
      <c r="C10" s="72" t="s">
        <v>179</v>
      </c>
      <c r="D10" s="72" t="s">
        <v>109</v>
      </c>
      <c r="E10" s="74">
        <v>4.9000000000000002E-2</v>
      </c>
      <c r="F10" s="74">
        <v>4.8000000000000001E-2</v>
      </c>
      <c r="G10" s="74">
        <v>4.8000000000000001E-2</v>
      </c>
      <c r="H10" s="74">
        <v>4.9000000000000002E-2</v>
      </c>
      <c r="I10" s="74">
        <v>4.9000000000000002E-2</v>
      </c>
      <c r="J10" s="72">
        <v>5</v>
      </c>
      <c r="K10" s="72">
        <v>15</v>
      </c>
      <c r="L10" s="72" t="str">
        <f>J10&amp;K10</f>
        <v>515</v>
      </c>
      <c r="M10" s="72" t="s">
        <v>139</v>
      </c>
      <c r="N10" t="s">
        <v>144</v>
      </c>
    </row>
    <row r="11" spans="1:14" x14ac:dyDescent="0.25">
      <c r="A11" s="72" t="s">
        <v>52</v>
      </c>
      <c r="B11" s="73" t="s">
        <v>84</v>
      </c>
      <c r="C11" s="72" t="s">
        <v>179</v>
      </c>
      <c r="D11" s="72" t="s">
        <v>126</v>
      </c>
      <c r="E11" s="74">
        <v>4.8000000000000001E-2</v>
      </c>
      <c r="F11" s="74">
        <v>4.7E-2</v>
      </c>
      <c r="G11" s="74">
        <v>4.8000000000000001E-2</v>
      </c>
      <c r="H11" s="74">
        <v>4.9000000000000002E-2</v>
      </c>
      <c r="I11" s="74">
        <v>4.9000000000000002E-2</v>
      </c>
      <c r="J11" s="72">
        <v>5</v>
      </c>
      <c r="K11" s="72">
        <v>40</v>
      </c>
      <c r="L11" s="72" t="str">
        <f>J11&amp;K11</f>
        <v>540</v>
      </c>
      <c r="M11" s="72" t="s">
        <v>139</v>
      </c>
      <c r="N11" t="s">
        <v>161</v>
      </c>
    </row>
    <row r="12" spans="1:14" x14ac:dyDescent="0.25">
      <c r="A12" s="72" t="s">
        <v>52</v>
      </c>
      <c r="B12" s="73" t="s">
        <v>63</v>
      </c>
      <c r="C12" s="72" t="s">
        <v>179</v>
      </c>
      <c r="D12" s="72" t="s">
        <v>110</v>
      </c>
      <c r="E12" s="74">
        <v>5.1999999999999998E-2</v>
      </c>
      <c r="F12" s="74">
        <v>5.0999999999999997E-2</v>
      </c>
      <c r="G12" s="74">
        <v>5.1999999999999998E-2</v>
      </c>
      <c r="H12" s="74">
        <v>5.0999999999999997E-2</v>
      </c>
      <c r="I12" s="74">
        <v>5.1999999999999998E-2</v>
      </c>
      <c r="J12" s="72">
        <v>6</v>
      </c>
      <c r="K12" s="72">
        <v>15</v>
      </c>
      <c r="L12" s="72" t="str">
        <f>J12&amp;K12</f>
        <v>615</v>
      </c>
      <c r="M12" s="72" t="s">
        <v>139</v>
      </c>
      <c r="N12" t="s">
        <v>145</v>
      </c>
    </row>
    <row r="13" spans="1:14" x14ac:dyDescent="0.25">
      <c r="A13" s="72" t="s">
        <v>52</v>
      </c>
      <c r="B13" s="73" t="s">
        <v>84</v>
      </c>
      <c r="C13" s="72" t="s">
        <v>179</v>
      </c>
      <c r="D13" s="72" t="s">
        <v>127</v>
      </c>
      <c r="E13" s="74" t="s">
        <v>70</v>
      </c>
      <c r="F13" s="74">
        <v>5.0999999999999997E-2</v>
      </c>
      <c r="G13" s="74">
        <v>5.0999999999999997E-2</v>
      </c>
      <c r="H13" s="74">
        <v>5.1999999999999998E-2</v>
      </c>
      <c r="I13" s="74">
        <v>5.0999999999999997E-2</v>
      </c>
      <c r="J13" s="72">
        <v>6</v>
      </c>
      <c r="K13" s="72">
        <v>40</v>
      </c>
      <c r="L13" s="72" t="str">
        <f>J13&amp;K13</f>
        <v>640</v>
      </c>
      <c r="M13" s="72" t="s">
        <v>139</v>
      </c>
      <c r="N13" t="s">
        <v>162</v>
      </c>
    </row>
    <row r="14" spans="1:14" x14ac:dyDescent="0.25">
      <c r="A14" s="72" t="s">
        <v>52</v>
      </c>
      <c r="B14" s="73" t="s">
        <v>63</v>
      </c>
      <c r="C14" s="72" t="s">
        <v>179</v>
      </c>
      <c r="D14" s="72" t="s">
        <v>111</v>
      </c>
      <c r="E14" s="74">
        <v>5.1999999999999998E-2</v>
      </c>
      <c r="F14" s="74">
        <v>5.1999999999999998E-2</v>
      </c>
      <c r="G14" s="74">
        <v>5.2999999999999999E-2</v>
      </c>
      <c r="H14" s="74" t="s">
        <v>70</v>
      </c>
      <c r="I14" s="74">
        <v>5.2999999999999999E-2</v>
      </c>
      <c r="J14" s="72">
        <v>7</v>
      </c>
      <c r="K14" s="72">
        <v>15</v>
      </c>
      <c r="L14" s="72" t="str">
        <f>J14&amp;K14</f>
        <v>715</v>
      </c>
      <c r="M14" s="72" t="s">
        <v>139</v>
      </c>
      <c r="N14" t="s">
        <v>146</v>
      </c>
    </row>
    <row r="15" spans="1:14" x14ac:dyDescent="0.25">
      <c r="A15" s="72" t="s">
        <v>52</v>
      </c>
      <c r="B15" s="73" t="s">
        <v>91</v>
      </c>
      <c r="C15" s="72" t="s">
        <v>179</v>
      </c>
      <c r="D15" s="72" t="s">
        <v>128</v>
      </c>
      <c r="E15" s="74">
        <v>5.0999999999999997E-2</v>
      </c>
      <c r="F15" s="74">
        <v>5.1999999999999998E-2</v>
      </c>
      <c r="G15" s="74">
        <v>5.1999999999999998E-2</v>
      </c>
      <c r="H15" s="74">
        <v>5.0999999999999997E-2</v>
      </c>
      <c r="I15" s="74">
        <v>5.2999999999999999E-2</v>
      </c>
      <c r="J15" s="72">
        <v>7</v>
      </c>
      <c r="K15" s="72">
        <v>40</v>
      </c>
      <c r="L15" s="72" t="str">
        <f>J15&amp;K15</f>
        <v>740</v>
      </c>
      <c r="M15" s="72" t="s">
        <v>139</v>
      </c>
      <c r="N15" t="s">
        <v>163</v>
      </c>
    </row>
    <row r="16" spans="1:14" x14ac:dyDescent="0.25">
      <c r="A16" s="72" t="s">
        <v>52</v>
      </c>
      <c r="B16" s="73" t="s">
        <v>63</v>
      </c>
      <c r="C16" s="72" t="s">
        <v>179</v>
      </c>
      <c r="D16" s="72" t="s">
        <v>112</v>
      </c>
      <c r="E16" s="74">
        <v>5.1999999999999998E-2</v>
      </c>
      <c r="F16" s="74">
        <v>5.1999999999999998E-2</v>
      </c>
      <c r="G16" s="74">
        <v>5.1999999999999998E-2</v>
      </c>
      <c r="H16" s="74">
        <v>5.1999999999999998E-2</v>
      </c>
      <c r="I16" s="74" t="s">
        <v>70</v>
      </c>
      <c r="J16" s="72">
        <v>8</v>
      </c>
      <c r="K16" s="72">
        <v>15</v>
      </c>
      <c r="L16" s="72" t="str">
        <f>J16&amp;K16</f>
        <v>815</v>
      </c>
      <c r="M16" s="72" t="s">
        <v>139</v>
      </c>
      <c r="N16" t="s">
        <v>147</v>
      </c>
    </row>
    <row r="17" spans="1:14" x14ac:dyDescent="0.25">
      <c r="A17" s="72" t="s">
        <v>52</v>
      </c>
      <c r="B17" s="73" t="s">
        <v>91</v>
      </c>
      <c r="C17" s="72" t="s">
        <v>179</v>
      </c>
      <c r="D17" s="72" t="s">
        <v>129</v>
      </c>
      <c r="E17" s="74">
        <v>5.0999999999999997E-2</v>
      </c>
      <c r="F17" s="74">
        <v>5.1999999999999998E-2</v>
      </c>
      <c r="G17" s="74">
        <v>5.1999999999999998E-2</v>
      </c>
      <c r="H17" s="74">
        <v>5.0999999999999997E-2</v>
      </c>
      <c r="I17" s="74">
        <v>5.0999999999999997E-2</v>
      </c>
      <c r="J17" s="72">
        <v>8</v>
      </c>
      <c r="K17" s="72">
        <v>40</v>
      </c>
      <c r="L17" s="72" t="str">
        <f>J17&amp;K17</f>
        <v>840</v>
      </c>
      <c r="M17" s="72" t="s">
        <v>139</v>
      </c>
      <c r="N17" t="s">
        <v>164</v>
      </c>
    </row>
    <row r="18" spans="1:14" x14ac:dyDescent="0.25">
      <c r="A18" s="72" t="s">
        <v>52</v>
      </c>
      <c r="B18" s="73" t="s">
        <v>63</v>
      </c>
      <c r="C18" s="72" t="s">
        <v>179</v>
      </c>
      <c r="D18" s="72" t="s">
        <v>113</v>
      </c>
      <c r="E18" s="74">
        <v>5.1999999999999998E-2</v>
      </c>
      <c r="F18" s="74">
        <v>5.1999999999999998E-2</v>
      </c>
      <c r="G18" s="74">
        <v>5.1999999999999998E-2</v>
      </c>
      <c r="H18" s="74">
        <v>5.1999999999999998E-2</v>
      </c>
      <c r="I18" s="74" t="s">
        <v>70</v>
      </c>
      <c r="J18" s="72">
        <v>9</v>
      </c>
      <c r="K18" s="72">
        <v>15</v>
      </c>
      <c r="L18" s="72" t="str">
        <f>J18&amp;K18</f>
        <v>915</v>
      </c>
      <c r="M18" s="72" t="s">
        <v>139</v>
      </c>
      <c r="N18" t="s">
        <v>148</v>
      </c>
    </row>
    <row r="19" spans="1:14" x14ac:dyDescent="0.25">
      <c r="A19" s="72" t="s">
        <v>52</v>
      </c>
      <c r="B19" s="73" t="s">
        <v>91</v>
      </c>
      <c r="C19" s="72" t="s">
        <v>179</v>
      </c>
      <c r="D19" s="72" t="s">
        <v>130</v>
      </c>
      <c r="E19" s="74">
        <v>5.1999999999999998E-2</v>
      </c>
      <c r="F19" s="74">
        <v>5.1999999999999998E-2</v>
      </c>
      <c r="G19" s="74">
        <v>5.1999999999999998E-2</v>
      </c>
      <c r="H19" s="74">
        <v>5.0999999999999997E-2</v>
      </c>
      <c r="I19" s="74">
        <v>5.1999999999999998E-2</v>
      </c>
      <c r="J19" s="72">
        <v>9</v>
      </c>
      <c r="K19" s="72">
        <v>40</v>
      </c>
      <c r="L19" s="72" t="str">
        <f>J19&amp;K19</f>
        <v>940</v>
      </c>
      <c r="M19" s="72" t="s">
        <v>139</v>
      </c>
      <c r="N19" t="s">
        <v>165</v>
      </c>
    </row>
    <row r="20" spans="1:14" x14ac:dyDescent="0.25">
      <c r="A20" s="72" t="s">
        <v>52</v>
      </c>
      <c r="B20" s="73" t="s">
        <v>73</v>
      </c>
      <c r="C20" s="72" t="s">
        <v>179</v>
      </c>
      <c r="D20" s="72" t="s">
        <v>114</v>
      </c>
      <c r="E20" s="74">
        <v>5.2999999999999999E-2</v>
      </c>
      <c r="F20" s="74">
        <v>5.2999999999999999E-2</v>
      </c>
      <c r="G20" s="74">
        <v>5.2999999999999999E-2</v>
      </c>
      <c r="H20" s="74">
        <v>5.2999999999999999E-2</v>
      </c>
      <c r="I20" s="74">
        <v>5.2999999999999999E-2</v>
      </c>
      <c r="J20" s="72">
        <v>10</v>
      </c>
      <c r="K20" s="72">
        <v>15</v>
      </c>
      <c r="L20" s="72" t="str">
        <f>J20&amp;K20</f>
        <v>1015</v>
      </c>
      <c r="M20" s="72" t="s">
        <v>139</v>
      </c>
      <c r="N20" t="s">
        <v>149</v>
      </c>
    </row>
    <row r="21" spans="1:14" x14ac:dyDescent="0.25">
      <c r="A21" s="72" t="s">
        <v>52</v>
      </c>
      <c r="B21" s="73" t="s">
        <v>91</v>
      </c>
      <c r="C21" s="72" t="s">
        <v>179</v>
      </c>
      <c r="D21" s="72" t="s">
        <v>131</v>
      </c>
      <c r="E21" s="74">
        <v>5.1999999999999998E-2</v>
      </c>
      <c r="F21" s="74">
        <v>5.2999999999999999E-2</v>
      </c>
      <c r="G21" s="74">
        <v>5.1999999999999998E-2</v>
      </c>
      <c r="H21" s="74">
        <v>5.2999999999999999E-2</v>
      </c>
      <c r="I21" s="74">
        <v>5.1999999999999998E-2</v>
      </c>
      <c r="J21" s="72">
        <v>10</v>
      </c>
      <c r="K21" s="72">
        <v>40</v>
      </c>
      <c r="L21" s="72" t="str">
        <f>J21&amp;K21</f>
        <v>1040</v>
      </c>
      <c r="M21" s="72" t="s">
        <v>139</v>
      </c>
      <c r="N21" t="s">
        <v>166</v>
      </c>
    </row>
    <row r="22" spans="1:14" x14ac:dyDescent="0.25">
      <c r="A22" s="72" t="s">
        <v>52</v>
      </c>
      <c r="B22" s="73" t="s">
        <v>73</v>
      </c>
      <c r="C22" s="72" t="s">
        <v>179</v>
      </c>
      <c r="D22" s="72" t="s">
        <v>115</v>
      </c>
      <c r="E22" s="74">
        <v>5.2999999999999999E-2</v>
      </c>
      <c r="F22" s="74">
        <v>5.2999999999999999E-2</v>
      </c>
      <c r="G22" s="74">
        <v>5.1999999999999998E-2</v>
      </c>
      <c r="H22" s="74">
        <v>5.2999999999999999E-2</v>
      </c>
      <c r="I22" s="74">
        <v>5.2999999999999999E-2</v>
      </c>
      <c r="J22" s="72">
        <v>11</v>
      </c>
      <c r="K22" s="72">
        <v>15</v>
      </c>
      <c r="L22" s="72" t="str">
        <f>J22&amp;K22</f>
        <v>1115</v>
      </c>
      <c r="M22" s="72" t="s">
        <v>139</v>
      </c>
      <c r="N22" t="s">
        <v>150</v>
      </c>
    </row>
    <row r="23" spans="1:14" x14ac:dyDescent="0.25">
      <c r="A23" s="72" t="s">
        <v>52</v>
      </c>
      <c r="B23" s="73" t="s">
        <v>91</v>
      </c>
      <c r="C23" s="72" t="s">
        <v>179</v>
      </c>
      <c r="D23" s="72" t="s">
        <v>132</v>
      </c>
      <c r="E23" s="74">
        <v>5.2999999999999999E-2</v>
      </c>
      <c r="F23" s="74">
        <v>5.2999999999999999E-2</v>
      </c>
      <c r="G23" s="74">
        <v>5.2999999999999999E-2</v>
      </c>
      <c r="H23" s="74">
        <v>5.2999999999999999E-2</v>
      </c>
      <c r="I23" s="74">
        <v>5.2999999999999999E-2</v>
      </c>
      <c r="J23" s="72">
        <v>11</v>
      </c>
      <c r="K23" s="72">
        <v>40</v>
      </c>
      <c r="L23" s="72" t="str">
        <f>J23&amp;K23</f>
        <v>1140</v>
      </c>
      <c r="M23" s="72" t="s">
        <v>139</v>
      </c>
      <c r="N23" t="s">
        <v>167</v>
      </c>
    </row>
    <row r="24" spans="1:14" x14ac:dyDescent="0.25">
      <c r="A24" s="72" t="s">
        <v>52</v>
      </c>
      <c r="B24" s="73" t="s">
        <v>73</v>
      </c>
      <c r="C24" s="72" t="s">
        <v>179</v>
      </c>
      <c r="D24" s="72" t="s">
        <v>116</v>
      </c>
      <c r="E24" s="74">
        <v>5.1999999999999998E-2</v>
      </c>
      <c r="F24" s="74">
        <v>5.2999999999999999E-2</v>
      </c>
      <c r="G24" s="74">
        <v>5.2999999999999999E-2</v>
      </c>
      <c r="H24" s="74">
        <v>5.2999999999999999E-2</v>
      </c>
      <c r="I24" s="74">
        <v>5.1999999999999998E-2</v>
      </c>
      <c r="J24" s="72">
        <v>12</v>
      </c>
      <c r="K24" s="72">
        <v>15</v>
      </c>
      <c r="L24" s="72" t="str">
        <f>J24&amp;K24</f>
        <v>1215</v>
      </c>
      <c r="M24" s="72" t="s">
        <v>139</v>
      </c>
      <c r="N24" t="s">
        <v>151</v>
      </c>
    </row>
    <row r="25" spans="1:14" x14ac:dyDescent="0.25">
      <c r="A25" s="72" t="s">
        <v>52</v>
      </c>
      <c r="B25" s="73" t="s">
        <v>97</v>
      </c>
      <c r="C25" s="72" t="s">
        <v>179</v>
      </c>
      <c r="D25" s="72" t="s">
        <v>133</v>
      </c>
      <c r="E25" s="74">
        <v>5.1999999999999998E-2</v>
      </c>
      <c r="F25" s="74" t="s">
        <v>70</v>
      </c>
      <c r="G25" s="74">
        <v>5.1999999999999998E-2</v>
      </c>
      <c r="H25" s="74">
        <v>5.1999999999999998E-2</v>
      </c>
      <c r="I25" s="74">
        <v>5.0999999999999997E-2</v>
      </c>
      <c r="J25" s="72">
        <v>12</v>
      </c>
      <c r="K25" s="72">
        <v>40</v>
      </c>
      <c r="L25" s="72" t="str">
        <f>J25&amp;K25</f>
        <v>1240</v>
      </c>
      <c r="M25" s="72" t="s">
        <v>139</v>
      </c>
      <c r="N25" t="s">
        <v>168</v>
      </c>
    </row>
    <row r="26" spans="1:14" x14ac:dyDescent="0.25">
      <c r="A26" s="72" t="s">
        <v>52</v>
      </c>
      <c r="B26" s="73" t="s">
        <v>73</v>
      </c>
      <c r="C26" s="72" t="s">
        <v>179</v>
      </c>
      <c r="D26" s="72" t="s">
        <v>117</v>
      </c>
      <c r="E26" s="74">
        <v>5.1999999999999998E-2</v>
      </c>
      <c r="F26" s="74">
        <v>5.1999999999999998E-2</v>
      </c>
      <c r="G26" s="74">
        <v>5.2999999999999999E-2</v>
      </c>
      <c r="H26" s="74">
        <v>5.1999999999999998E-2</v>
      </c>
      <c r="I26" s="74">
        <v>5.1999999999999998E-2</v>
      </c>
      <c r="J26" s="72">
        <v>13</v>
      </c>
      <c r="K26" s="72">
        <v>15</v>
      </c>
      <c r="L26" s="72" t="str">
        <f>J26&amp;K26</f>
        <v>1315</v>
      </c>
      <c r="M26" s="72" t="s">
        <v>139</v>
      </c>
      <c r="N26" t="s">
        <v>152</v>
      </c>
    </row>
    <row r="27" spans="1:14" x14ac:dyDescent="0.25">
      <c r="A27" s="72" t="s">
        <v>52</v>
      </c>
      <c r="B27" s="73" t="s">
        <v>97</v>
      </c>
      <c r="C27" s="72" t="s">
        <v>179</v>
      </c>
      <c r="D27" s="72" t="s">
        <v>134</v>
      </c>
      <c r="E27" s="74">
        <v>5.1999999999999998E-2</v>
      </c>
      <c r="F27" s="74">
        <v>5.1999999999999998E-2</v>
      </c>
      <c r="G27" s="74">
        <v>5.1999999999999998E-2</v>
      </c>
      <c r="H27" s="74">
        <v>4.9000000000000002E-2</v>
      </c>
      <c r="I27" s="74">
        <v>5.0999999999999997E-2</v>
      </c>
      <c r="J27" s="72">
        <v>13</v>
      </c>
      <c r="K27" s="72">
        <v>40</v>
      </c>
      <c r="L27" s="72" t="str">
        <f>J27&amp;K27</f>
        <v>1340</v>
      </c>
      <c r="M27" s="72" t="s">
        <v>139</v>
      </c>
      <c r="N27" t="s">
        <v>169</v>
      </c>
    </row>
    <row r="28" spans="1:14" x14ac:dyDescent="0.25">
      <c r="A28" s="72" t="s">
        <v>52</v>
      </c>
      <c r="B28" s="73" t="s">
        <v>73</v>
      </c>
      <c r="C28" s="72" t="s">
        <v>179</v>
      </c>
      <c r="D28" s="72" t="s">
        <v>118</v>
      </c>
      <c r="E28" s="74">
        <v>5.2999999999999999E-2</v>
      </c>
      <c r="F28" s="74">
        <v>5.2999999999999999E-2</v>
      </c>
      <c r="G28" s="74">
        <v>5.2999999999999999E-2</v>
      </c>
      <c r="H28" s="74" t="s">
        <v>70</v>
      </c>
      <c r="I28" s="74">
        <v>5.1999999999999998E-2</v>
      </c>
      <c r="J28" s="72">
        <v>14</v>
      </c>
      <c r="K28" s="72">
        <v>15</v>
      </c>
      <c r="L28" s="72" t="str">
        <f>J28&amp;K28</f>
        <v>1415</v>
      </c>
      <c r="M28" s="72" t="s">
        <v>139</v>
      </c>
      <c r="N28" t="s">
        <v>153</v>
      </c>
    </row>
    <row r="29" spans="1:14" x14ac:dyDescent="0.25">
      <c r="A29" s="72" t="s">
        <v>52</v>
      </c>
      <c r="B29" s="73" t="s">
        <v>97</v>
      </c>
      <c r="C29" s="72" t="s">
        <v>179</v>
      </c>
      <c r="D29" s="72" t="s">
        <v>135</v>
      </c>
      <c r="E29" s="74">
        <v>5.1999999999999998E-2</v>
      </c>
      <c r="F29" s="74">
        <v>5.1999999999999998E-2</v>
      </c>
      <c r="G29" s="74">
        <v>5.2999999999999999E-2</v>
      </c>
      <c r="H29" s="74">
        <v>5.1999999999999998E-2</v>
      </c>
      <c r="I29" s="74">
        <v>5.1999999999999998E-2</v>
      </c>
      <c r="J29" s="72">
        <v>14</v>
      </c>
      <c r="K29" s="72">
        <v>40</v>
      </c>
      <c r="L29" s="72" t="str">
        <f>J29&amp;K29</f>
        <v>1440</v>
      </c>
      <c r="M29" s="72" t="s">
        <v>139</v>
      </c>
      <c r="N29" t="s">
        <v>170</v>
      </c>
    </row>
    <row r="30" spans="1:14" x14ac:dyDescent="0.25">
      <c r="A30" s="72" t="s">
        <v>52</v>
      </c>
      <c r="B30" s="73" t="s">
        <v>79</v>
      </c>
      <c r="C30" s="72" t="s">
        <v>179</v>
      </c>
      <c r="D30" s="72" t="s">
        <v>119</v>
      </c>
      <c r="E30" s="74">
        <v>5.3999999999999999E-2</v>
      </c>
      <c r="F30" s="74">
        <v>5.2999999999999999E-2</v>
      </c>
      <c r="G30" s="74">
        <v>5.2999999999999999E-2</v>
      </c>
      <c r="H30" s="74">
        <v>5.2999999999999999E-2</v>
      </c>
      <c r="I30" s="74">
        <v>5.3999999999999999E-2</v>
      </c>
      <c r="J30" s="72">
        <v>15</v>
      </c>
      <c r="K30" s="72">
        <v>15</v>
      </c>
      <c r="L30" s="72" t="str">
        <f>J30&amp;K30</f>
        <v>1515</v>
      </c>
      <c r="M30" s="72" t="s">
        <v>139</v>
      </c>
      <c r="N30" t="s">
        <v>154</v>
      </c>
    </row>
    <row r="31" spans="1:14" x14ac:dyDescent="0.25">
      <c r="A31" s="72" t="s">
        <v>52</v>
      </c>
      <c r="B31" s="73" t="s">
        <v>97</v>
      </c>
      <c r="C31" s="72" t="s">
        <v>179</v>
      </c>
      <c r="D31" s="72" t="s">
        <v>136</v>
      </c>
      <c r="E31" s="74">
        <v>5.2999999999999999E-2</v>
      </c>
      <c r="F31" s="74">
        <v>5.2999999999999999E-2</v>
      </c>
      <c r="G31" s="74">
        <v>5.2999999999999999E-2</v>
      </c>
      <c r="H31" s="74">
        <v>5.2999999999999999E-2</v>
      </c>
      <c r="I31" s="74">
        <v>5.2999999999999999E-2</v>
      </c>
      <c r="J31" s="72">
        <v>15</v>
      </c>
      <c r="K31" s="72">
        <v>40</v>
      </c>
      <c r="L31" s="72" t="str">
        <f>J31&amp;K31</f>
        <v>1540</v>
      </c>
      <c r="M31" s="72" t="s">
        <v>139</v>
      </c>
      <c r="N31" t="s">
        <v>171</v>
      </c>
    </row>
    <row r="32" spans="1:14" x14ac:dyDescent="0.25">
      <c r="A32" s="72" t="s">
        <v>52</v>
      </c>
      <c r="B32" s="73" t="s">
        <v>79</v>
      </c>
      <c r="C32" s="72" t="s">
        <v>179</v>
      </c>
      <c r="D32" s="72" t="s">
        <v>120</v>
      </c>
      <c r="E32" s="74">
        <v>5.2999999999999999E-2</v>
      </c>
      <c r="F32" s="74">
        <v>5.1999999999999998E-2</v>
      </c>
      <c r="G32" s="74">
        <v>5.2999999999999999E-2</v>
      </c>
      <c r="H32" s="74">
        <v>5.2999999999999999E-2</v>
      </c>
      <c r="I32" s="74">
        <v>5.2999999999999999E-2</v>
      </c>
      <c r="J32" s="72">
        <v>16</v>
      </c>
      <c r="K32" s="72">
        <v>15</v>
      </c>
      <c r="L32" s="72" t="str">
        <f>J32&amp;K32</f>
        <v>1615</v>
      </c>
      <c r="M32" s="72" t="s">
        <v>139</v>
      </c>
      <c r="N32" t="s">
        <v>155</v>
      </c>
    </row>
    <row r="33" spans="1:14" x14ac:dyDescent="0.25">
      <c r="A33" s="72" t="s">
        <v>52</v>
      </c>
      <c r="B33" s="73" t="s">
        <v>97</v>
      </c>
      <c r="C33" s="72" t="s">
        <v>179</v>
      </c>
      <c r="D33" s="72" t="s">
        <v>137</v>
      </c>
      <c r="E33" s="74">
        <v>5.2999999999999999E-2</v>
      </c>
      <c r="F33" s="74">
        <v>5.2999999999999999E-2</v>
      </c>
      <c r="G33" s="74">
        <v>5.1999999999999998E-2</v>
      </c>
      <c r="H33" s="74">
        <v>5.2999999999999999E-2</v>
      </c>
      <c r="I33" s="74">
        <v>5.2999999999999999E-2</v>
      </c>
      <c r="J33" s="72">
        <v>16</v>
      </c>
      <c r="K33" s="72">
        <v>40</v>
      </c>
      <c r="L33" s="72" t="str">
        <f>J33&amp;K33</f>
        <v>1640</v>
      </c>
      <c r="M33" s="72" t="s">
        <v>139</v>
      </c>
      <c r="N33" t="s">
        <v>172</v>
      </c>
    </row>
    <row r="34" spans="1:14" x14ac:dyDescent="0.25">
      <c r="A34" s="72" t="s">
        <v>52</v>
      </c>
      <c r="B34" s="73" t="s">
        <v>79</v>
      </c>
      <c r="C34" s="72" t="s">
        <v>179</v>
      </c>
      <c r="D34" s="72" t="s">
        <v>121</v>
      </c>
      <c r="E34" s="74">
        <v>5.0999999999999997E-2</v>
      </c>
      <c r="F34" s="74">
        <v>5.1999999999999998E-2</v>
      </c>
      <c r="G34" s="74">
        <v>5.1999999999999998E-2</v>
      </c>
      <c r="H34" s="74">
        <v>5.1999999999999998E-2</v>
      </c>
      <c r="I34" s="74">
        <v>5.1999999999999998E-2</v>
      </c>
      <c r="J34" s="72">
        <v>17</v>
      </c>
      <c r="K34" s="72">
        <v>15</v>
      </c>
      <c r="L34" s="72" t="str">
        <f>J34&amp;K34</f>
        <v>1715</v>
      </c>
      <c r="M34" s="72" t="s">
        <v>139</v>
      </c>
      <c r="N34" t="s">
        <v>156</v>
      </c>
    </row>
    <row r="35" spans="1:14" x14ac:dyDescent="0.25">
      <c r="A35" s="72" t="s">
        <v>52</v>
      </c>
      <c r="B35" s="73" t="s">
        <v>103</v>
      </c>
      <c r="C35" s="72" t="s">
        <v>179</v>
      </c>
      <c r="D35" s="72" t="s">
        <v>138</v>
      </c>
      <c r="E35" s="74">
        <v>5.0999999999999997E-2</v>
      </c>
      <c r="F35" s="74" t="s">
        <v>70</v>
      </c>
      <c r="G35" s="74">
        <v>5.0999999999999997E-2</v>
      </c>
      <c r="H35" s="74">
        <v>5.0999999999999997E-2</v>
      </c>
      <c r="I35" s="74">
        <v>4.8000000000000001E-2</v>
      </c>
      <c r="J35" s="72">
        <v>17</v>
      </c>
      <c r="K35" s="72">
        <v>40</v>
      </c>
      <c r="L35" s="72" t="str">
        <f>J35&amp;K35</f>
        <v>1740</v>
      </c>
      <c r="M35" s="72" t="s">
        <v>139</v>
      </c>
      <c r="N35" t="s">
        <v>173</v>
      </c>
    </row>
    <row r="36" spans="1:14" x14ac:dyDescent="0.25">
      <c r="A36" s="72"/>
      <c r="B36" s="73"/>
      <c r="C36" s="72"/>
      <c r="D36" s="72"/>
      <c r="E36" s="74">
        <v>0</v>
      </c>
      <c r="F36" s="74">
        <v>0</v>
      </c>
      <c r="G36" s="74">
        <v>0</v>
      </c>
      <c r="H36" s="74">
        <v>0</v>
      </c>
      <c r="I36" s="74">
        <v>0</v>
      </c>
      <c r="J36" s="72"/>
      <c r="K36" s="72"/>
      <c r="L36" s="72" t="str">
        <f>J36&amp;K36</f>
        <v/>
      </c>
      <c r="M36" s="72"/>
    </row>
    <row r="37" spans="1:14" x14ac:dyDescent="0.25">
      <c r="A37" s="72"/>
      <c r="B37" s="73"/>
      <c r="C37" s="72"/>
      <c r="D37" s="72"/>
      <c r="E37" s="74">
        <v>0</v>
      </c>
      <c r="F37" s="74">
        <v>0</v>
      </c>
      <c r="G37" s="74">
        <v>0</v>
      </c>
      <c r="H37" s="74">
        <v>0</v>
      </c>
      <c r="I37" s="74">
        <v>0</v>
      </c>
      <c r="J37" s="72"/>
      <c r="K37" s="72"/>
      <c r="L37" s="72" t="str">
        <f>J37&amp;K37</f>
        <v/>
      </c>
      <c r="M37" s="72"/>
    </row>
    <row r="38" spans="1:14" x14ac:dyDescent="0.25">
      <c r="A38" s="72"/>
      <c r="B38" s="73"/>
      <c r="C38" s="72"/>
      <c r="D38" s="72"/>
      <c r="E38" s="74">
        <v>0</v>
      </c>
      <c r="F38" s="74">
        <v>0</v>
      </c>
      <c r="G38" s="74">
        <v>0</v>
      </c>
      <c r="H38" s="74">
        <v>0</v>
      </c>
      <c r="I38" s="74">
        <v>0</v>
      </c>
      <c r="J38" s="72"/>
      <c r="K38" s="72"/>
      <c r="L38" s="72" t="str">
        <f>J38&amp;K38</f>
        <v/>
      </c>
      <c r="M38" s="72"/>
    </row>
    <row r="39" spans="1:14" x14ac:dyDescent="0.25">
      <c r="A39" s="72"/>
      <c r="B39" s="73"/>
      <c r="C39" s="72"/>
      <c r="D39" s="72"/>
      <c r="E39" s="74">
        <v>0</v>
      </c>
      <c r="F39" s="74">
        <v>0</v>
      </c>
      <c r="G39" s="74">
        <v>0</v>
      </c>
      <c r="H39" s="74">
        <v>0</v>
      </c>
      <c r="I39" s="74">
        <v>0</v>
      </c>
      <c r="J39" s="72"/>
      <c r="K39" s="72"/>
      <c r="L39" s="72" t="str">
        <f>J39&amp;K39</f>
        <v/>
      </c>
      <c r="M39" s="72"/>
    </row>
    <row r="40" spans="1:14" x14ac:dyDescent="0.25">
      <c r="A40" s="72"/>
      <c r="B40" s="73"/>
      <c r="C40" s="72"/>
      <c r="D40" s="72"/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2"/>
      <c r="K40" s="72"/>
      <c r="L40" s="72" t="str">
        <f>J40&amp;K40</f>
        <v/>
      </c>
      <c r="M40" s="72"/>
    </row>
    <row r="41" spans="1:14" x14ac:dyDescent="0.25">
      <c r="A41" s="72"/>
      <c r="B41" s="73"/>
      <c r="C41" s="72"/>
      <c r="D41" s="72"/>
      <c r="E41" s="74">
        <v>0</v>
      </c>
      <c r="F41" s="74">
        <v>0</v>
      </c>
      <c r="G41" s="74">
        <v>0</v>
      </c>
      <c r="H41" s="74">
        <v>0</v>
      </c>
      <c r="I41" s="74">
        <v>0</v>
      </c>
      <c r="J41" s="72"/>
      <c r="K41" s="72"/>
      <c r="L41" s="72" t="str">
        <f>J41&amp;K41</f>
        <v/>
      </c>
      <c r="M41" s="72"/>
    </row>
    <row r="42" spans="1:14" x14ac:dyDescent="0.25">
      <c r="A42" s="72"/>
      <c r="B42" s="73"/>
      <c r="C42" s="72"/>
      <c r="D42" s="72"/>
      <c r="E42" s="74">
        <v>0</v>
      </c>
      <c r="F42" s="74">
        <v>0</v>
      </c>
      <c r="G42" s="74">
        <v>0</v>
      </c>
      <c r="H42" s="74">
        <v>0</v>
      </c>
      <c r="I42" s="74">
        <v>0</v>
      </c>
      <c r="J42" s="72"/>
      <c r="K42" s="72"/>
      <c r="L42" s="72" t="str">
        <f>J42&amp;K42</f>
        <v/>
      </c>
      <c r="M42" s="72"/>
    </row>
    <row r="43" spans="1:14" x14ac:dyDescent="0.25">
      <c r="A43" s="72"/>
      <c r="B43" s="73"/>
      <c r="C43" s="72"/>
      <c r="D43" s="72"/>
      <c r="E43" s="74">
        <v>0</v>
      </c>
      <c r="F43" s="74">
        <v>0</v>
      </c>
      <c r="G43" s="74">
        <v>0</v>
      </c>
      <c r="H43" s="74">
        <v>0</v>
      </c>
      <c r="I43" s="74">
        <v>0</v>
      </c>
      <c r="J43" s="72"/>
      <c r="K43" s="72"/>
      <c r="L43" s="72" t="str">
        <f>J43&amp;K43</f>
        <v/>
      </c>
      <c r="M43" s="72"/>
    </row>
    <row r="44" spans="1:14" x14ac:dyDescent="0.25">
      <c r="A44" s="72"/>
      <c r="B44" s="73"/>
      <c r="C44" s="72"/>
      <c r="D44" s="72"/>
      <c r="E44" s="74">
        <v>0</v>
      </c>
      <c r="F44" s="74">
        <v>0</v>
      </c>
      <c r="G44" s="74">
        <v>0</v>
      </c>
      <c r="H44" s="74">
        <v>0</v>
      </c>
      <c r="I44" s="74">
        <v>0</v>
      </c>
      <c r="J44" s="72"/>
      <c r="K44" s="72"/>
      <c r="L44" s="72" t="str">
        <f>J44&amp;K44</f>
        <v/>
      </c>
      <c r="M44" s="72"/>
    </row>
    <row r="45" spans="1:14" x14ac:dyDescent="0.25">
      <c r="A45" s="72"/>
      <c r="B45" s="73"/>
      <c r="C45" s="72"/>
      <c r="D45" s="72"/>
      <c r="E45" s="74">
        <v>0</v>
      </c>
      <c r="F45" s="74">
        <v>0</v>
      </c>
      <c r="G45" s="74">
        <v>0</v>
      </c>
      <c r="H45" s="74">
        <v>0</v>
      </c>
      <c r="I45" s="74">
        <v>0</v>
      </c>
      <c r="J45" s="72"/>
      <c r="K45" s="72"/>
      <c r="L45" s="72" t="str">
        <f>J45&amp;K45</f>
        <v/>
      </c>
      <c r="M45" s="72"/>
    </row>
    <row r="46" spans="1:14" x14ac:dyDescent="0.25">
      <c r="A46" s="72"/>
      <c r="B46" s="73"/>
      <c r="C46" s="72"/>
      <c r="D46" s="72"/>
      <c r="E46" s="74">
        <v>0</v>
      </c>
      <c r="F46" s="74">
        <v>0</v>
      </c>
      <c r="G46" s="74">
        <v>0</v>
      </c>
      <c r="H46" s="74">
        <v>0</v>
      </c>
      <c r="I46" s="74">
        <v>0</v>
      </c>
      <c r="J46" s="72"/>
      <c r="K46" s="72"/>
      <c r="L46" s="72" t="str">
        <f>J46&amp;K46</f>
        <v/>
      </c>
      <c r="M46" s="72"/>
    </row>
    <row r="47" spans="1:14" x14ac:dyDescent="0.25">
      <c r="A47" s="72"/>
      <c r="B47" s="73"/>
      <c r="C47" s="72"/>
      <c r="D47" s="72"/>
      <c r="E47" s="74">
        <v>0</v>
      </c>
      <c r="F47" s="74">
        <v>0</v>
      </c>
      <c r="G47" s="74">
        <v>0</v>
      </c>
      <c r="H47" s="74">
        <v>0</v>
      </c>
      <c r="I47" s="74">
        <v>0</v>
      </c>
      <c r="J47" s="72"/>
      <c r="K47" s="72"/>
      <c r="L47" s="72" t="str">
        <f>J47&amp;K47</f>
        <v/>
      </c>
      <c r="M47" s="72"/>
    </row>
    <row r="48" spans="1:14" x14ac:dyDescent="0.25">
      <c r="A48" s="72"/>
      <c r="B48" s="73"/>
      <c r="C48" s="72"/>
      <c r="D48" s="72"/>
      <c r="E48" s="74">
        <v>0</v>
      </c>
      <c r="F48" s="74">
        <v>0</v>
      </c>
      <c r="G48" s="74">
        <v>0</v>
      </c>
      <c r="H48" s="74">
        <v>0</v>
      </c>
      <c r="I48" s="74">
        <v>0</v>
      </c>
      <c r="J48" s="72"/>
      <c r="K48" s="72"/>
      <c r="L48" s="72" t="str">
        <f>J48&amp;K48</f>
        <v/>
      </c>
      <c r="M48" s="72"/>
    </row>
    <row r="49" spans="1:13" x14ac:dyDescent="0.25">
      <c r="A49" s="72"/>
      <c r="B49" s="73"/>
      <c r="C49" s="72"/>
      <c r="D49" s="72"/>
      <c r="E49" s="74">
        <v>0</v>
      </c>
      <c r="F49" s="74">
        <v>0</v>
      </c>
      <c r="G49" s="74">
        <v>0</v>
      </c>
      <c r="H49" s="74">
        <v>0</v>
      </c>
      <c r="I49" s="74">
        <v>0</v>
      </c>
      <c r="J49" s="72"/>
      <c r="K49" s="72"/>
      <c r="L49" s="72" t="str">
        <f>J49&amp;K49</f>
        <v/>
      </c>
      <c r="M49" s="72"/>
    </row>
    <row r="50" spans="1:13" x14ac:dyDescent="0.25">
      <c r="A50" s="72"/>
      <c r="B50" s="73"/>
      <c r="C50" s="72"/>
      <c r="D50" s="72"/>
      <c r="E50" s="74">
        <v>0</v>
      </c>
      <c r="F50" s="74">
        <v>0</v>
      </c>
      <c r="G50" s="74">
        <v>0</v>
      </c>
      <c r="H50" s="74">
        <v>0</v>
      </c>
      <c r="I50" s="74">
        <v>0</v>
      </c>
      <c r="J50" s="72"/>
      <c r="K50" s="72"/>
      <c r="L50" s="72" t="str">
        <f>J50&amp;K50</f>
        <v/>
      </c>
      <c r="M50" s="72"/>
    </row>
    <row r="51" spans="1:13" x14ac:dyDescent="0.25">
      <c r="A51" s="72"/>
      <c r="B51" s="73"/>
      <c r="C51" s="72"/>
      <c r="D51" s="72"/>
      <c r="E51" s="74">
        <v>0</v>
      </c>
      <c r="F51" s="74">
        <v>0</v>
      </c>
      <c r="G51" s="74">
        <v>0</v>
      </c>
      <c r="H51" s="74">
        <v>0</v>
      </c>
      <c r="I51" s="74">
        <v>0</v>
      </c>
      <c r="J51" s="72"/>
      <c r="K51" s="72"/>
      <c r="L51" s="72" t="str">
        <f>J51&amp;K51</f>
        <v/>
      </c>
      <c r="M51" s="72"/>
    </row>
    <row r="52" spans="1:13" x14ac:dyDescent="0.25">
      <c r="A52" s="72"/>
      <c r="B52" s="73"/>
      <c r="C52" s="72"/>
      <c r="D52" s="72"/>
      <c r="E52" s="74">
        <v>0</v>
      </c>
      <c r="F52" s="74">
        <v>0</v>
      </c>
      <c r="G52" s="74">
        <v>0</v>
      </c>
      <c r="H52" s="74">
        <v>0</v>
      </c>
      <c r="I52" s="74">
        <v>0</v>
      </c>
      <c r="J52" s="72"/>
      <c r="K52" s="72"/>
      <c r="L52" s="72" t="str">
        <f>J52&amp;K52</f>
        <v/>
      </c>
      <c r="M52" s="72"/>
    </row>
    <row r="53" spans="1:13" x14ac:dyDescent="0.25">
      <c r="A53" s="72"/>
      <c r="B53" s="73"/>
      <c r="C53" s="72"/>
      <c r="D53" s="72"/>
      <c r="E53" s="74">
        <v>0</v>
      </c>
      <c r="F53" s="74">
        <v>0</v>
      </c>
      <c r="G53" s="74">
        <v>0</v>
      </c>
      <c r="H53" s="74">
        <v>0</v>
      </c>
      <c r="I53" s="74">
        <v>0</v>
      </c>
      <c r="J53" s="72"/>
      <c r="K53" s="72"/>
      <c r="L53" s="72" t="str">
        <f>J53&amp;K53</f>
        <v/>
      </c>
      <c r="M53" s="72"/>
    </row>
    <row r="54" spans="1:13" x14ac:dyDescent="0.25">
      <c r="A54" s="72"/>
      <c r="B54" s="73"/>
      <c r="C54" s="72"/>
      <c r="D54" s="72"/>
      <c r="E54" s="74">
        <v>0</v>
      </c>
      <c r="F54" s="74">
        <v>0</v>
      </c>
      <c r="G54" s="74">
        <v>0</v>
      </c>
      <c r="H54" s="74">
        <v>0</v>
      </c>
      <c r="I54" s="74">
        <v>0</v>
      </c>
      <c r="J54" s="72"/>
      <c r="K54" s="72"/>
      <c r="L54" s="72" t="str">
        <f>J54&amp;K54</f>
        <v/>
      </c>
      <c r="M54" s="72"/>
    </row>
    <row r="55" spans="1:13" x14ac:dyDescent="0.25">
      <c r="A55" s="72"/>
      <c r="B55" s="73"/>
      <c r="C55" s="72"/>
      <c r="D55" s="72"/>
      <c r="E55" s="74">
        <v>0</v>
      </c>
      <c r="F55" s="74">
        <v>0</v>
      </c>
      <c r="G55" s="74">
        <v>0</v>
      </c>
      <c r="H55" s="74">
        <v>0</v>
      </c>
      <c r="I55" s="74">
        <v>0</v>
      </c>
      <c r="J55" s="72"/>
      <c r="K55" s="72"/>
      <c r="L55" s="72" t="str">
        <f>J55&amp;K55</f>
        <v/>
      </c>
      <c r="M55" s="72"/>
    </row>
    <row r="56" spans="1:13" x14ac:dyDescent="0.25">
      <c r="A56" s="72"/>
      <c r="B56" s="73"/>
      <c r="C56" s="72"/>
      <c r="D56" s="72"/>
      <c r="E56" s="74">
        <v>0</v>
      </c>
      <c r="F56" s="74">
        <v>0</v>
      </c>
      <c r="G56" s="74">
        <v>0</v>
      </c>
      <c r="H56" s="74">
        <v>0</v>
      </c>
      <c r="I56" s="74">
        <v>0</v>
      </c>
      <c r="J56" s="72"/>
      <c r="K56" s="72"/>
      <c r="L56" s="72" t="str">
        <f>J56&amp;K56</f>
        <v/>
      </c>
      <c r="M56" s="72"/>
    </row>
    <row r="57" spans="1:13" x14ac:dyDescent="0.25">
      <c r="A57" s="72"/>
      <c r="B57" s="73"/>
      <c r="C57" s="72"/>
      <c r="D57" s="72"/>
      <c r="E57" s="74">
        <v>0</v>
      </c>
      <c r="F57" s="74">
        <v>0</v>
      </c>
      <c r="G57" s="74">
        <v>0</v>
      </c>
      <c r="H57" s="74">
        <v>0</v>
      </c>
      <c r="I57" s="74">
        <v>0</v>
      </c>
      <c r="J57" s="72"/>
      <c r="K57" s="72"/>
      <c r="L57" s="72" t="str">
        <f>J57&amp;K57</f>
        <v/>
      </c>
      <c r="M57" s="72"/>
    </row>
    <row r="58" spans="1:13" x14ac:dyDescent="0.25">
      <c r="A58" s="72"/>
      <c r="B58" s="73"/>
      <c r="C58" s="72"/>
      <c r="D58" s="72"/>
      <c r="E58" s="74">
        <v>0</v>
      </c>
      <c r="F58" s="74">
        <v>0</v>
      </c>
      <c r="G58" s="74">
        <v>0</v>
      </c>
      <c r="H58" s="74">
        <v>0</v>
      </c>
      <c r="I58" s="74">
        <v>0</v>
      </c>
      <c r="J58" s="72"/>
      <c r="K58" s="72"/>
      <c r="L58" s="72" t="str">
        <f>J58&amp;K58</f>
        <v/>
      </c>
      <c r="M58" s="72"/>
    </row>
    <row r="59" spans="1:13" x14ac:dyDescent="0.25">
      <c r="A59" s="72"/>
      <c r="B59" s="73"/>
      <c r="C59" s="72"/>
      <c r="D59" s="72"/>
      <c r="E59" s="74">
        <v>0</v>
      </c>
      <c r="F59" s="74">
        <v>0</v>
      </c>
      <c r="G59" s="74">
        <v>0</v>
      </c>
      <c r="H59" s="74">
        <v>0</v>
      </c>
      <c r="I59" s="74">
        <v>0</v>
      </c>
      <c r="J59" s="72"/>
      <c r="K59" s="72"/>
      <c r="L59" s="72" t="str">
        <f>J59&amp;K59</f>
        <v/>
      </c>
      <c r="M59" s="72"/>
    </row>
    <row r="60" spans="1:13" x14ac:dyDescent="0.25">
      <c r="A60" s="72"/>
      <c r="B60" s="73"/>
      <c r="C60" s="72"/>
      <c r="D60" s="72"/>
      <c r="E60" s="74">
        <v>0</v>
      </c>
      <c r="F60" s="74">
        <v>0</v>
      </c>
      <c r="G60" s="74">
        <v>0</v>
      </c>
      <c r="H60" s="74">
        <v>0</v>
      </c>
      <c r="I60" s="74">
        <v>0</v>
      </c>
      <c r="J60" s="72"/>
      <c r="K60" s="72"/>
      <c r="L60" s="72" t="str">
        <f>J60&amp;K60</f>
        <v/>
      </c>
      <c r="M60" s="72"/>
    </row>
    <row r="61" spans="1:13" x14ac:dyDescent="0.25">
      <c r="A61" s="72"/>
      <c r="B61" s="73"/>
      <c r="C61" s="72"/>
      <c r="D61" s="72"/>
      <c r="E61" s="74">
        <v>0</v>
      </c>
      <c r="F61" s="74">
        <v>0</v>
      </c>
      <c r="G61" s="74">
        <v>0</v>
      </c>
      <c r="H61" s="74">
        <v>0</v>
      </c>
      <c r="I61" s="74">
        <v>0</v>
      </c>
      <c r="J61" s="72"/>
      <c r="K61" s="72"/>
      <c r="L61" s="72" t="str">
        <f>J61&amp;K61</f>
        <v/>
      </c>
      <c r="M61" s="72"/>
    </row>
    <row r="62" spans="1:13" x14ac:dyDescent="0.25">
      <c r="A62" s="72"/>
      <c r="B62" s="73"/>
      <c r="C62" s="72"/>
      <c r="D62" s="72"/>
      <c r="E62" s="74">
        <v>0</v>
      </c>
      <c r="F62" s="74">
        <v>0</v>
      </c>
      <c r="G62" s="74">
        <v>0</v>
      </c>
      <c r="H62" s="74">
        <v>0</v>
      </c>
      <c r="I62" s="74">
        <v>0</v>
      </c>
      <c r="J62" s="72"/>
      <c r="K62" s="72"/>
      <c r="L62" s="72" t="str">
        <f>J62&amp;K62</f>
        <v/>
      </c>
      <c r="M62" s="72"/>
    </row>
    <row r="63" spans="1:13" x14ac:dyDescent="0.25">
      <c r="A63" s="72"/>
      <c r="B63" s="73"/>
      <c r="C63" s="72"/>
      <c r="D63" s="72"/>
      <c r="E63" s="74">
        <v>0</v>
      </c>
      <c r="F63" s="74">
        <v>0</v>
      </c>
      <c r="G63" s="74">
        <v>0</v>
      </c>
      <c r="H63" s="74">
        <v>0</v>
      </c>
      <c r="I63" s="74">
        <v>0</v>
      </c>
      <c r="J63" s="72"/>
      <c r="K63" s="72"/>
      <c r="L63" s="72" t="str">
        <f>J63&amp;K63</f>
        <v/>
      </c>
      <c r="M63" s="72"/>
    </row>
    <row r="64" spans="1:13" x14ac:dyDescent="0.25">
      <c r="A64" s="72"/>
      <c r="B64" s="73"/>
      <c r="C64" s="72"/>
      <c r="D64" s="72"/>
      <c r="E64" s="74">
        <v>0</v>
      </c>
      <c r="F64" s="74">
        <v>0</v>
      </c>
      <c r="G64" s="74">
        <v>0</v>
      </c>
      <c r="H64" s="74">
        <v>0</v>
      </c>
      <c r="I64" s="74">
        <v>0</v>
      </c>
      <c r="J64" s="72"/>
      <c r="K64" s="72"/>
      <c r="L64" s="72" t="str">
        <f>J64&amp;K64</f>
        <v/>
      </c>
      <c r="M64" s="72"/>
    </row>
    <row r="65" spans="1:13" x14ac:dyDescent="0.25">
      <c r="A65" s="72"/>
      <c r="B65" s="73"/>
      <c r="C65" s="72"/>
      <c r="D65" s="72"/>
      <c r="E65" s="74">
        <v>0</v>
      </c>
      <c r="F65" s="74">
        <v>0</v>
      </c>
      <c r="G65" s="74">
        <v>0</v>
      </c>
      <c r="H65" s="74">
        <v>0</v>
      </c>
      <c r="I65" s="74">
        <v>0</v>
      </c>
      <c r="J65" s="72"/>
      <c r="K65" s="72"/>
      <c r="L65" s="72" t="str">
        <f>J65&amp;K65</f>
        <v/>
      </c>
      <c r="M65" s="72"/>
    </row>
    <row r="66" spans="1:13" x14ac:dyDescent="0.25">
      <c r="A66" s="72"/>
      <c r="B66" s="73"/>
      <c r="C66" s="72"/>
      <c r="D66" s="72"/>
      <c r="E66" s="74">
        <v>0</v>
      </c>
      <c r="F66" s="74">
        <v>0</v>
      </c>
      <c r="G66" s="74">
        <v>0</v>
      </c>
      <c r="H66" s="74">
        <v>0</v>
      </c>
      <c r="I66" s="74">
        <v>0</v>
      </c>
      <c r="J66" s="72"/>
      <c r="K66" s="72"/>
      <c r="L66" s="72" t="str">
        <f>J66&amp;K66</f>
        <v/>
      </c>
      <c r="M66" s="72"/>
    </row>
    <row r="67" spans="1:13" x14ac:dyDescent="0.25">
      <c r="A67" s="72"/>
      <c r="B67" s="73"/>
      <c r="C67" s="72"/>
      <c r="D67" s="72"/>
      <c r="E67" s="74">
        <v>0</v>
      </c>
      <c r="F67" s="74">
        <v>0</v>
      </c>
      <c r="G67" s="74">
        <v>0</v>
      </c>
      <c r="H67" s="74">
        <v>0</v>
      </c>
      <c r="I67" s="74">
        <v>0</v>
      </c>
      <c r="J67" s="72"/>
      <c r="K67" s="72"/>
      <c r="L67" s="72" t="str">
        <f>J67&amp;K67</f>
        <v/>
      </c>
      <c r="M67" s="72"/>
    </row>
    <row r="68" spans="1:13" x14ac:dyDescent="0.25">
      <c r="A68" s="72"/>
      <c r="B68" s="73"/>
      <c r="C68" s="72"/>
      <c r="D68" s="72"/>
      <c r="E68" s="74">
        <v>0</v>
      </c>
      <c r="F68" s="74">
        <v>0</v>
      </c>
      <c r="G68" s="74">
        <v>0</v>
      </c>
      <c r="H68" s="74">
        <v>0</v>
      </c>
      <c r="I68" s="74">
        <v>0</v>
      </c>
      <c r="J68" s="72"/>
      <c r="K68" s="72"/>
      <c r="L68" s="72" t="str">
        <f>J68&amp;K68</f>
        <v/>
      </c>
      <c r="M68" s="72"/>
    </row>
    <row r="69" spans="1:13" x14ac:dyDescent="0.25">
      <c r="A69" s="72"/>
      <c r="B69" s="73"/>
      <c r="C69" s="72"/>
      <c r="D69" s="72"/>
      <c r="E69" s="74">
        <v>0</v>
      </c>
      <c r="F69" s="74">
        <v>0</v>
      </c>
      <c r="G69" s="74">
        <v>0</v>
      </c>
      <c r="H69" s="74">
        <v>0</v>
      </c>
      <c r="I69" s="74">
        <v>0</v>
      </c>
      <c r="J69" s="72"/>
      <c r="K69" s="72"/>
      <c r="L69" s="72" t="str">
        <f>J69&amp;K69</f>
        <v/>
      </c>
      <c r="M69" s="72"/>
    </row>
    <row r="70" spans="1:13" x14ac:dyDescent="0.25">
      <c r="A70" s="72"/>
      <c r="B70" s="73"/>
      <c r="C70" s="72"/>
      <c r="D70" s="72"/>
      <c r="E70" s="74">
        <v>0</v>
      </c>
      <c r="F70" s="74">
        <v>0</v>
      </c>
      <c r="G70" s="74">
        <v>0</v>
      </c>
      <c r="H70" s="74">
        <v>0</v>
      </c>
      <c r="I70" s="74">
        <v>0</v>
      </c>
      <c r="J70" s="72"/>
      <c r="K70" s="72"/>
      <c r="L70" s="72" t="str">
        <f>J70&amp;K70</f>
        <v/>
      </c>
      <c r="M70" s="72"/>
    </row>
    <row r="71" spans="1:13" x14ac:dyDescent="0.25">
      <c r="A71" s="72"/>
      <c r="B71" s="73"/>
      <c r="C71" s="72"/>
      <c r="D71" s="72"/>
      <c r="E71" s="74">
        <v>0</v>
      </c>
      <c r="F71" s="74">
        <v>0</v>
      </c>
      <c r="G71" s="74">
        <v>0</v>
      </c>
      <c r="H71" s="74">
        <v>0</v>
      </c>
      <c r="I71" s="74">
        <v>0</v>
      </c>
      <c r="J71" s="72"/>
      <c r="K71" s="72"/>
      <c r="L71" s="72" t="str">
        <f>J71&amp;K71</f>
        <v/>
      </c>
      <c r="M71" s="72"/>
    </row>
    <row r="72" spans="1:13" x14ac:dyDescent="0.25">
      <c r="A72" s="72"/>
      <c r="B72" s="73"/>
      <c r="C72" s="72"/>
      <c r="D72" s="72"/>
      <c r="E72" s="74">
        <v>0</v>
      </c>
      <c r="F72" s="74">
        <v>0</v>
      </c>
      <c r="G72" s="74">
        <v>0</v>
      </c>
      <c r="H72" s="74">
        <v>0</v>
      </c>
      <c r="I72" s="74">
        <v>0</v>
      </c>
      <c r="J72" s="72"/>
      <c r="K72" s="72"/>
      <c r="L72" s="72" t="str">
        <f>J72&amp;K72</f>
        <v/>
      </c>
      <c r="M72" s="72"/>
    </row>
    <row r="73" spans="1:13" x14ac:dyDescent="0.25">
      <c r="A73" s="72"/>
      <c r="B73" s="73"/>
      <c r="C73" s="72"/>
      <c r="D73" s="72"/>
      <c r="E73" s="74">
        <v>0</v>
      </c>
      <c r="F73" s="74">
        <v>0</v>
      </c>
      <c r="G73" s="74">
        <v>0</v>
      </c>
      <c r="H73" s="74">
        <v>0</v>
      </c>
      <c r="I73" s="74">
        <v>0</v>
      </c>
      <c r="J73" s="72"/>
      <c r="K73" s="72"/>
      <c r="L73" s="72" t="str">
        <f>J73&amp;K73</f>
        <v/>
      </c>
      <c r="M73" s="72"/>
    </row>
    <row r="74" spans="1:13" x14ac:dyDescent="0.25">
      <c r="A74" s="72"/>
      <c r="B74" s="73"/>
      <c r="C74" s="72"/>
      <c r="D74" s="72"/>
      <c r="E74" s="74">
        <v>0</v>
      </c>
      <c r="F74" s="74">
        <v>0</v>
      </c>
      <c r="G74" s="74">
        <v>0</v>
      </c>
      <c r="H74" s="74">
        <v>0</v>
      </c>
      <c r="I74" s="74">
        <v>0</v>
      </c>
      <c r="J74" s="72"/>
      <c r="K74" s="72"/>
      <c r="L74" s="72" t="str">
        <f>J74&amp;K74</f>
        <v/>
      </c>
      <c r="M74" s="72"/>
    </row>
    <row r="75" spans="1:13" x14ac:dyDescent="0.25">
      <c r="A75" s="72"/>
      <c r="B75" s="73"/>
      <c r="C75" s="72"/>
      <c r="D75" s="72"/>
      <c r="E75" s="74">
        <v>0</v>
      </c>
      <c r="F75" s="74">
        <v>0</v>
      </c>
      <c r="G75" s="74">
        <v>0</v>
      </c>
      <c r="H75" s="74">
        <v>0</v>
      </c>
      <c r="I75" s="74">
        <v>0</v>
      </c>
      <c r="J75" s="72"/>
      <c r="K75" s="72"/>
      <c r="L75" s="72" t="str">
        <f>J75&amp;K75</f>
        <v/>
      </c>
      <c r="M75" s="72"/>
    </row>
    <row r="76" spans="1:13" x14ac:dyDescent="0.25">
      <c r="A76" s="72"/>
      <c r="B76" s="73"/>
      <c r="C76" s="72"/>
      <c r="D76" s="72"/>
      <c r="E76" s="74">
        <v>0</v>
      </c>
      <c r="F76" s="74">
        <v>0</v>
      </c>
      <c r="G76" s="74">
        <v>0</v>
      </c>
      <c r="H76" s="74">
        <v>0</v>
      </c>
      <c r="I76" s="74">
        <v>0</v>
      </c>
      <c r="J76" s="72"/>
      <c r="K76" s="72"/>
      <c r="L76" s="72" t="str">
        <f>J76&amp;K76</f>
        <v/>
      </c>
      <c r="M76" s="72"/>
    </row>
    <row r="77" spans="1:13" x14ac:dyDescent="0.25">
      <c r="A77" s="72"/>
      <c r="B77" s="73"/>
      <c r="C77" s="72"/>
      <c r="D77" s="72"/>
      <c r="E77" s="74">
        <v>0</v>
      </c>
      <c r="F77" s="74">
        <v>0</v>
      </c>
      <c r="G77" s="74">
        <v>0</v>
      </c>
      <c r="H77" s="74">
        <v>0</v>
      </c>
      <c r="I77" s="74">
        <v>0</v>
      </c>
      <c r="J77" s="72"/>
      <c r="K77" s="72"/>
      <c r="L77" s="72" t="str">
        <f>J77&amp;K77</f>
        <v/>
      </c>
      <c r="M77" s="72"/>
    </row>
    <row r="78" spans="1:13" x14ac:dyDescent="0.25">
      <c r="A78" s="72"/>
      <c r="B78" s="73"/>
      <c r="C78" s="72"/>
      <c r="D78" s="72"/>
      <c r="E78" s="74">
        <v>0</v>
      </c>
      <c r="F78" s="74">
        <v>0</v>
      </c>
      <c r="G78" s="74">
        <v>0</v>
      </c>
      <c r="H78" s="74">
        <v>0</v>
      </c>
      <c r="I78" s="74">
        <v>0</v>
      </c>
      <c r="J78" s="72"/>
      <c r="K78" s="72"/>
      <c r="L78" s="72" t="str">
        <f>J78&amp;K78</f>
        <v/>
      </c>
      <c r="M78" s="72"/>
    </row>
    <row r="79" spans="1:13" x14ac:dyDescent="0.25">
      <c r="A79" s="72"/>
      <c r="B79" s="73"/>
      <c r="C79" s="72"/>
      <c r="D79" s="72"/>
      <c r="E79" s="74">
        <v>0</v>
      </c>
      <c r="F79" s="74">
        <v>0</v>
      </c>
      <c r="G79" s="74">
        <v>0</v>
      </c>
      <c r="H79" s="74">
        <v>0</v>
      </c>
      <c r="I79" s="74">
        <v>0</v>
      </c>
      <c r="J79" s="72"/>
      <c r="K79" s="72"/>
      <c r="L79" s="72" t="str">
        <f>J79&amp;K79</f>
        <v/>
      </c>
      <c r="M79" s="72"/>
    </row>
    <row r="80" spans="1:13" x14ac:dyDescent="0.25">
      <c r="A80" s="72"/>
      <c r="B80" s="73"/>
      <c r="C80" s="72"/>
      <c r="D80" s="72"/>
      <c r="E80" s="74">
        <v>0</v>
      </c>
      <c r="F80" s="74">
        <v>0</v>
      </c>
      <c r="G80" s="74">
        <v>0</v>
      </c>
      <c r="H80" s="74">
        <v>0</v>
      </c>
      <c r="I80" s="74">
        <v>0</v>
      </c>
      <c r="J80" s="72"/>
      <c r="K80" s="72"/>
      <c r="L80" s="72" t="str">
        <f>J80&amp;K80</f>
        <v/>
      </c>
      <c r="M80" s="72"/>
    </row>
    <row r="81" spans="1:13" x14ac:dyDescent="0.25">
      <c r="A81" s="72"/>
      <c r="B81" s="73"/>
      <c r="C81" s="72"/>
      <c r="D81" s="72"/>
      <c r="E81" s="74">
        <v>0</v>
      </c>
      <c r="F81" s="74">
        <v>0</v>
      </c>
      <c r="G81" s="74">
        <v>0</v>
      </c>
      <c r="H81" s="74">
        <v>0</v>
      </c>
      <c r="I81" s="74">
        <v>0</v>
      </c>
      <c r="J81" s="72"/>
      <c r="K81" s="72"/>
      <c r="L81" s="72" t="str">
        <f>J81&amp;K81</f>
        <v/>
      </c>
      <c r="M81" s="72"/>
    </row>
    <row r="82" spans="1:13" x14ac:dyDescent="0.25">
      <c r="A82" s="72"/>
      <c r="B82" s="73"/>
      <c r="C82" s="72"/>
      <c r="D82" s="72"/>
      <c r="E82" s="74">
        <v>0</v>
      </c>
      <c r="F82" s="74">
        <v>0</v>
      </c>
      <c r="G82" s="74">
        <v>0</v>
      </c>
      <c r="H82" s="74">
        <v>0</v>
      </c>
      <c r="I82" s="74">
        <v>0</v>
      </c>
      <c r="J82" s="72"/>
      <c r="K82" s="72"/>
      <c r="L82" s="72" t="str">
        <f>J82&amp;K82</f>
        <v/>
      </c>
      <c r="M82" s="72"/>
    </row>
    <row r="83" spans="1:13" x14ac:dyDescent="0.25">
      <c r="A83" s="72"/>
      <c r="B83" s="73"/>
      <c r="C83" s="72"/>
      <c r="D83" s="72"/>
      <c r="E83" s="74">
        <v>0</v>
      </c>
      <c r="F83" s="74">
        <v>0</v>
      </c>
      <c r="G83" s="74">
        <v>0</v>
      </c>
      <c r="H83" s="74">
        <v>0</v>
      </c>
      <c r="I83" s="74">
        <v>0</v>
      </c>
      <c r="J83" s="72"/>
      <c r="K83" s="72"/>
      <c r="L83" s="72" t="str">
        <f>J83&amp;K83</f>
        <v/>
      </c>
      <c r="M83" s="72"/>
    </row>
    <row r="84" spans="1:13" x14ac:dyDescent="0.25">
      <c r="A84" s="72"/>
      <c r="B84" s="73"/>
      <c r="C84" s="72"/>
      <c r="D84" s="72"/>
      <c r="E84" s="74">
        <v>0</v>
      </c>
      <c r="F84" s="74">
        <v>0</v>
      </c>
      <c r="G84" s="74">
        <v>0</v>
      </c>
      <c r="H84" s="74">
        <v>0</v>
      </c>
      <c r="I84" s="74">
        <v>0</v>
      </c>
      <c r="J84" s="72"/>
      <c r="K84" s="72"/>
      <c r="L84" s="72" t="str">
        <f>J84&amp;K84</f>
        <v/>
      </c>
      <c r="M84" s="72"/>
    </row>
    <row r="85" spans="1:13" x14ac:dyDescent="0.25">
      <c r="A85" s="72"/>
      <c r="B85" s="73"/>
      <c r="C85" s="72"/>
      <c r="D85" s="72"/>
      <c r="E85" s="74">
        <v>0</v>
      </c>
      <c r="F85" s="74">
        <v>0</v>
      </c>
      <c r="G85" s="74">
        <v>0</v>
      </c>
      <c r="H85" s="74">
        <v>0</v>
      </c>
      <c r="I85" s="74">
        <v>0</v>
      </c>
      <c r="J85" s="72"/>
      <c r="K85" s="72"/>
      <c r="L85" s="72" t="str">
        <f>J85&amp;K85</f>
        <v/>
      </c>
      <c r="M85" s="72"/>
    </row>
    <row r="86" spans="1:13" x14ac:dyDescent="0.25">
      <c r="A86" s="72"/>
      <c r="B86" s="73"/>
      <c r="C86" s="72"/>
      <c r="D86" s="72"/>
      <c r="E86" s="75">
        <v>0</v>
      </c>
      <c r="F86" s="75">
        <v>0</v>
      </c>
      <c r="G86" s="74">
        <v>0</v>
      </c>
      <c r="H86" s="74">
        <v>0</v>
      </c>
      <c r="I86" s="74">
        <v>0</v>
      </c>
      <c r="J86" s="72"/>
      <c r="K86" s="72"/>
      <c r="L86" s="72" t="str">
        <f>J86&amp;K86</f>
        <v/>
      </c>
      <c r="M86" s="72"/>
    </row>
    <row r="87" spans="1:13" x14ac:dyDescent="0.25">
      <c r="A87" s="72"/>
      <c r="B87" s="73"/>
      <c r="C87" s="72"/>
      <c r="D87" s="72"/>
      <c r="E87" s="74">
        <v>0</v>
      </c>
      <c r="F87" s="74">
        <v>0</v>
      </c>
      <c r="G87" s="74">
        <v>0</v>
      </c>
      <c r="H87" s="74">
        <v>0</v>
      </c>
      <c r="I87" s="74">
        <v>0</v>
      </c>
      <c r="J87" s="72"/>
      <c r="K87" s="72"/>
      <c r="L87" s="72" t="str">
        <f>J87&amp;K87</f>
        <v/>
      </c>
      <c r="M87" s="72"/>
    </row>
    <row r="88" spans="1:13" x14ac:dyDescent="0.25">
      <c r="A88" s="72"/>
      <c r="B88" s="73"/>
      <c r="C88" s="72"/>
      <c r="D88" s="72"/>
      <c r="E88" s="74">
        <v>0</v>
      </c>
      <c r="F88" s="74">
        <v>0</v>
      </c>
      <c r="G88" s="74">
        <v>0</v>
      </c>
      <c r="H88" s="74">
        <v>0</v>
      </c>
      <c r="I88" s="74">
        <v>0</v>
      </c>
      <c r="J88" s="72"/>
      <c r="K88" s="72"/>
      <c r="L88" s="72" t="str">
        <f>J88&amp;K88</f>
        <v/>
      </c>
      <c r="M88" s="72"/>
    </row>
    <row r="89" spans="1:13" x14ac:dyDescent="0.25">
      <c r="A89" s="72"/>
      <c r="B89" s="73"/>
      <c r="C89" s="72"/>
      <c r="D89" s="72"/>
      <c r="E89" s="74">
        <v>0</v>
      </c>
      <c r="F89" s="74">
        <v>0</v>
      </c>
      <c r="G89" s="74">
        <v>0</v>
      </c>
      <c r="H89" s="74">
        <v>0</v>
      </c>
      <c r="I89" s="74">
        <v>0</v>
      </c>
      <c r="J89" s="72"/>
      <c r="K89" s="72"/>
      <c r="L89" s="72" t="str">
        <f>J89&amp;K89</f>
        <v/>
      </c>
      <c r="M89" s="72"/>
    </row>
    <row r="90" spans="1:13" x14ac:dyDescent="0.25">
      <c r="A90" s="72"/>
      <c r="B90" s="73"/>
      <c r="C90" s="72"/>
      <c r="D90" s="72"/>
      <c r="E90" s="74">
        <v>0</v>
      </c>
      <c r="F90" s="74">
        <v>0</v>
      </c>
      <c r="G90" s="74">
        <v>0</v>
      </c>
      <c r="H90" s="74">
        <v>0</v>
      </c>
      <c r="I90" s="74">
        <v>0</v>
      </c>
      <c r="J90" s="72"/>
      <c r="K90" s="72"/>
      <c r="L90" s="72" t="str">
        <f>J90&amp;K90</f>
        <v/>
      </c>
      <c r="M90" s="72"/>
    </row>
    <row r="91" spans="1:13" x14ac:dyDescent="0.25">
      <c r="A91" s="72"/>
      <c r="B91" s="73"/>
      <c r="C91" s="72"/>
      <c r="D91" s="72"/>
      <c r="E91" s="74">
        <v>0</v>
      </c>
      <c r="F91" s="74">
        <v>0</v>
      </c>
      <c r="G91" s="74">
        <v>0</v>
      </c>
      <c r="H91" s="74">
        <v>0</v>
      </c>
      <c r="I91" s="74">
        <v>0</v>
      </c>
      <c r="J91" s="72"/>
      <c r="K91" s="72"/>
      <c r="L91" s="72" t="str">
        <f>J91&amp;K91</f>
        <v/>
      </c>
      <c r="M91" s="72"/>
    </row>
    <row r="92" spans="1:13" x14ac:dyDescent="0.25">
      <c r="A92" s="72"/>
      <c r="B92" s="73"/>
      <c r="C92" s="72"/>
      <c r="D92" s="72"/>
      <c r="E92" s="74">
        <v>0</v>
      </c>
      <c r="F92" s="74">
        <v>0</v>
      </c>
      <c r="G92" s="74">
        <v>0</v>
      </c>
      <c r="H92" s="74">
        <v>0</v>
      </c>
      <c r="I92" s="74">
        <v>0</v>
      </c>
      <c r="J92" s="72"/>
      <c r="K92" s="72"/>
      <c r="L92" s="72" t="str">
        <f>J92&amp;K92</f>
        <v/>
      </c>
      <c r="M92" s="72"/>
    </row>
    <row r="93" spans="1:13" x14ac:dyDescent="0.25">
      <c r="A93" s="72"/>
      <c r="B93" s="73"/>
      <c r="C93" s="72"/>
      <c r="D93" s="72"/>
      <c r="E93" s="74">
        <v>0</v>
      </c>
      <c r="F93" s="74">
        <v>0</v>
      </c>
      <c r="G93" s="74">
        <v>0</v>
      </c>
      <c r="H93" s="74">
        <v>0</v>
      </c>
      <c r="I93" s="74">
        <v>0</v>
      </c>
      <c r="J93" s="72"/>
      <c r="K93" s="72"/>
      <c r="L93" s="72" t="str">
        <f>J93&amp;K93</f>
        <v/>
      </c>
      <c r="M93" s="72"/>
    </row>
    <row r="94" spans="1:13" x14ac:dyDescent="0.25">
      <c r="A94" s="72"/>
      <c r="B94" s="73"/>
      <c r="C94" s="72"/>
      <c r="D94" s="72"/>
      <c r="E94" s="74">
        <v>0</v>
      </c>
      <c r="F94" s="74">
        <v>0</v>
      </c>
      <c r="G94" s="74">
        <v>0</v>
      </c>
      <c r="H94" s="74">
        <v>0</v>
      </c>
      <c r="I94" s="74">
        <v>0</v>
      </c>
      <c r="J94" s="72"/>
      <c r="K94" s="72"/>
      <c r="L94" s="72" t="str">
        <f>J94&amp;K94</f>
        <v/>
      </c>
      <c r="M94" s="72"/>
    </row>
    <row r="95" spans="1:13" x14ac:dyDescent="0.25">
      <c r="A95" s="72"/>
      <c r="B95" s="73"/>
      <c r="C95" s="72"/>
      <c r="D95" s="72"/>
      <c r="E95" s="74">
        <v>0</v>
      </c>
      <c r="F95" s="74">
        <v>0</v>
      </c>
      <c r="G95" s="74">
        <v>0</v>
      </c>
      <c r="H95" s="74">
        <v>0</v>
      </c>
      <c r="I95" s="74">
        <v>0</v>
      </c>
      <c r="J95" s="72"/>
      <c r="K95" s="72"/>
      <c r="L95" s="72" t="str">
        <f>J95&amp;K95</f>
        <v/>
      </c>
      <c r="M95" s="72"/>
    </row>
    <row r="96" spans="1:13" x14ac:dyDescent="0.25">
      <c r="A96" s="72"/>
      <c r="B96" s="73"/>
      <c r="C96" s="72"/>
      <c r="D96" s="72"/>
      <c r="E96" s="74">
        <v>0</v>
      </c>
      <c r="F96" s="74">
        <v>0</v>
      </c>
      <c r="G96" s="74">
        <v>0</v>
      </c>
      <c r="H96" s="74">
        <v>0</v>
      </c>
      <c r="I96" s="74">
        <v>0</v>
      </c>
      <c r="J96" s="72"/>
      <c r="K96" s="72"/>
      <c r="L96" s="72" t="str">
        <f>J96&amp;K96</f>
        <v/>
      </c>
      <c r="M96" s="72"/>
    </row>
    <row r="97" spans="1:13" x14ac:dyDescent="0.25">
      <c r="A97" s="72"/>
      <c r="B97" s="73"/>
      <c r="C97" s="72"/>
      <c r="D97" s="72"/>
      <c r="E97" s="74">
        <v>0</v>
      </c>
      <c r="F97" s="74">
        <v>0</v>
      </c>
      <c r="G97" s="74">
        <v>0</v>
      </c>
      <c r="H97" s="74">
        <v>0</v>
      </c>
      <c r="I97" s="74">
        <v>0</v>
      </c>
      <c r="J97" s="72"/>
      <c r="K97" s="72"/>
      <c r="L97" s="72" t="str">
        <f>J97&amp;K97</f>
        <v/>
      </c>
      <c r="M97" s="72"/>
    </row>
    <row r="98" spans="1:13" x14ac:dyDescent="0.25">
      <c r="A98" s="72"/>
      <c r="B98" s="73"/>
      <c r="C98" s="72"/>
      <c r="D98" s="72"/>
      <c r="E98" s="74">
        <v>0</v>
      </c>
      <c r="F98" s="74">
        <v>0</v>
      </c>
      <c r="G98" s="74">
        <v>0</v>
      </c>
      <c r="H98" s="74">
        <v>0</v>
      </c>
      <c r="I98" s="74">
        <v>0</v>
      </c>
      <c r="J98" s="72"/>
      <c r="K98" s="72"/>
      <c r="L98" s="72" t="str">
        <f>J98&amp;K98</f>
        <v/>
      </c>
      <c r="M98" s="72"/>
    </row>
    <row r="99" spans="1:13" x14ac:dyDescent="0.25">
      <c r="A99" s="72"/>
      <c r="B99" s="73"/>
      <c r="C99" s="72"/>
      <c r="D99" s="72"/>
      <c r="E99" s="74">
        <v>0</v>
      </c>
      <c r="F99" s="74">
        <v>0</v>
      </c>
      <c r="G99" s="74">
        <v>0</v>
      </c>
      <c r="H99" s="74">
        <v>0</v>
      </c>
      <c r="I99" s="74">
        <v>0</v>
      </c>
      <c r="J99" s="72"/>
      <c r="K99" s="72"/>
      <c r="L99" s="72" t="str">
        <f>J99&amp;K99</f>
        <v/>
      </c>
      <c r="M99" s="72"/>
    </row>
    <row r="100" spans="1:13" x14ac:dyDescent="0.25">
      <c r="A100" s="72"/>
      <c r="B100" s="73"/>
      <c r="C100" s="72"/>
      <c r="D100" s="72"/>
      <c r="E100" s="74">
        <v>0</v>
      </c>
      <c r="F100" s="74">
        <v>0</v>
      </c>
      <c r="G100" s="74">
        <v>0</v>
      </c>
      <c r="H100" s="74">
        <v>0</v>
      </c>
      <c r="I100" s="74">
        <v>0</v>
      </c>
      <c r="J100" s="72"/>
      <c r="K100" s="72"/>
      <c r="L100" s="72" t="str">
        <f>J100&amp;K100</f>
        <v/>
      </c>
      <c r="M100" s="72"/>
    </row>
    <row r="101" spans="1:13" x14ac:dyDescent="0.25">
      <c r="A101" s="72"/>
      <c r="B101" s="73"/>
      <c r="C101" s="72"/>
      <c r="D101" s="72"/>
      <c r="E101" s="74">
        <v>0</v>
      </c>
      <c r="F101" s="74">
        <v>0</v>
      </c>
      <c r="G101" s="74">
        <v>0</v>
      </c>
      <c r="H101" s="74">
        <v>0</v>
      </c>
      <c r="I101" s="74">
        <v>0</v>
      </c>
      <c r="J101" s="72"/>
      <c r="K101" s="72"/>
      <c r="L101" s="72" t="str">
        <f>J101&amp;K101</f>
        <v/>
      </c>
      <c r="M101" s="72"/>
    </row>
    <row r="102" spans="1:13" x14ac:dyDescent="0.25">
      <c r="A102" s="72"/>
      <c r="B102" s="73"/>
      <c r="C102" s="72"/>
      <c r="D102" s="72"/>
      <c r="E102" s="74">
        <v>0</v>
      </c>
      <c r="F102" s="74">
        <v>0</v>
      </c>
      <c r="G102" s="74">
        <v>0</v>
      </c>
      <c r="H102" s="74">
        <v>0</v>
      </c>
      <c r="I102" s="74">
        <v>0</v>
      </c>
      <c r="J102" s="72"/>
      <c r="K102" s="72"/>
      <c r="L102" s="72" t="str">
        <f>J102&amp;K102</f>
        <v/>
      </c>
      <c r="M102" s="72"/>
    </row>
    <row r="103" spans="1:13" x14ac:dyDescent="0.25">
      <c r="A103" s="72"/>
      <c r="B103" s="73"/>
      <c r="C103" s="72"/>
      <c r="D103" s="72"/>
      <c r="E103" s="74">
        <v>0</v>
      </c>
      <c r="F103" s="74">
        <v>0</v>
      </c>
      <c r="G103" s="74">
        <v>0</v>
      </c>
      <c r="H103" s="74">
        <v>0</v>
      </c>
      <c r="I103" s="74">
        <v>0</v>
      </c>
      <c r="J103" s="72"/>
      <c r="K103" s="72"/>
      <c r="L103" s="72" t="str">
        <f>J103&amp;K103</f>
        <v/>
      </c>
      <c r="M103" s="72"/>
    </row>
    <row r="104" spans="1:13" x14ac:dyDescent="0.25">
      <c r="A104" s="72"/>
      <c r="B104" s="73"/>
      <c r="C104" s="72"/>
      <c r="D104" s="72"/>
      <c r="E104" s="74">
        <v>0</v>
      </c>
      <c r="F104" s="74">
        <v>0</v>
      </c>
      <c r="G104" s="74">
        <v>0</v>
      </c>
      <c r="H104" s="74">
        <v>0</v>
      </c>
      <c r="I104" s="74">
        <v>0</v>
      </c>
      <c r="J104" s="72"/>
      <c r="K104" s="72"/>
      <c r="L104" s="72" t="str">
        <f>J104&amp;K104</f>
        <v/>
      </c>
      <c r="M104" s="72"/>
    </row>
    <row r="105" spans="1:13" x14ac:dyDescent="0.25">
      <c r="A105" s="72"/>
      <c r="B105" s="73"/>
      <c r="C105" s="72"/>
      <c r="D105" s="72"/>
      <c r="E105" s="74">
        <v>0</v>
      </c>
      <c r="F105" s="74">
        <v>0</v>
      </c>
      <c r="G105" s="74">
        <v>0</v>
      </c>
      <c r="H105" s="74">
        <v>0</v>
      </c>
      <c r="I105" s="74">
        <v>0</v>
      </c>
      <c r="J105" s="72"/>
      <c r="K105" s="72"/>
      <c r="L105" s="72" t="str">
        <f>J105&amp;K105</f>
        <v/>
      </c>
      <c r="M105" s="72"/>
    </row>
    <row r="106" spans="1:13" x14ac:dyDescent="0.25">
      <c r="A106" s="72"/>
      <c r="B106" s="73"/>
      <c r="C106" s="72"/>
      <c r="D106" s="72"/>
      <c r="E106" s="74">
        <v>0</v>
      </c>
      <c r="F106" s="74">
        <v>0</v>
      </c>
      <c r="G106" s="74">
        <v>0</v>
      </c>
      <c r="H106" s="74">
        <v>0</v>
      </c>
      <c r="I106" s="74">
        <v>0</v>
      </c>
      <c r="J106" s="72"/>
      <c r="K106" s="72"/>
      <c r="L106" s="72" t="str">
        <f>J106&amp;K106</f>
        <v/>
      </c>
      <c r="M106" s="72"/>
    </row>
    <row r="107" spans="1:13" x14ac:dyDescent="0.25">
      <c r="A107" s="72"/>
      <c r="B107" s="73"/>
      <c r="C107" s="72"/>
      <c r="D107" s="72"/>
      <c r="E107" s="74">
        <v>0</v>
      </c>
      <c r="F107" s="74">
        <v>0</v>
      </c>
      <c r="G107" s="74">
        <v>0</v>
      </c>
      <c r="H107" s="74">
        <v>0</v>
      </c>
      <c r="I107" s="74">
        <v>0</v>
      </c>
      <c r="J107" s="72"/>
      <c r="K107" s="72"/>
      <c r="L107" s="72" t="str">
        <f>J107&amp;K107</f>
        <v/>
      </c>
      <c r="M107" s="72"/>
    </row>
    <row r="108" spans="1:13" x14ac:dyDescent="0.25">
      <c r="A108" s="72"/>
      <c r="B108" s="73"/>
      <c r="C108" s="72"/>
      <c r="D108" s="72"/>
      <c r="E108" s="74">
        <v>0</v>
      </c>
      <c r="F108" s="74">
        <v>0</v>
      </c>
      <c r="G108" s="74">
        <v>0</v>
      </c>
      <c r="H108" s="74">
        <v>0</v>
      </c>
      <c r="I108" s="74">
        <v>0</v>
      </c>
      <c r="J108" s="72"/>
      <c r="K108" s="72"/>
      <c r="L108" s="72" t="str">
        <f>J108&amp;K108</f>
        <v/>
      </c>
      <c r="M108" s="72"/>
    </row>
    <row r="109" spans="1:13" x14ac:dyDescent="0.25">
      <c r="A109" s="72"/>
      <c r="B109" s="73"/>
      <c r="C109" s="72"/>
      <c r="D109" s="72"/>
      <c r="E109" s="74">
        <v>0</v>
      </c>
      <c r="F109" s="74">
        <v>0</v>
      </c>
      <c r="G109" s="74">
        <v>0</v>
      </c>
      <c r="H109" s="74">
        <v>0</v>
      </c>
      <c r="I109" s="74">
        <v>0</v>
      </c>
      <c r="J109" s="72"/>
      <c r="K109" s="72"/>
      <c r="L109" s="72" t="str">
        <f>J109&amp;K109</f>
        <v/>
      </c>
      <c r="M109" s="72"/>
    </row>
    <row r="110" spans="1:13" x14ac:dyDescent="0.25">
      <c r="A110" s="72"/>
      <c r="B110" s="73"/>
      <c r="C110" s="72"/>
      <c r="D110" s="72"/>
      <c r="E110" s="74">
        <v>0</v>
      </c>
      <c r="F110" s="74">
        <v>0</v>
      </c>
      <c r="G110" s="74">
        <v>0</v>
      </c>
      <c r="H110" s="74">
        <v>0</v>
      </c>
      <c r="I110" s="74">
        <v>0</v>
      </c>
      <c r="J110" s="72"/>
      <c r="K110" s="72"/>
      <c r="L110" s="72" t="str">
        <f>J110&amp;K110</f>
        <v/>
      </c>
      <c r="M110" s="72"/>
    </row>
    <row r="111" spans="1:13" x14ac:dyDescent="0.25">
      <c r="A111" s="72"/>
      <c r="B111" s="73"/>
      <c r="C111" s="72"/>
      <c r="D111" s="72"/>
      <c r="E111" s="74">
        <v>0</v>
      </c>
      <c r="F111" s="74">
        <v>0</v>
      </c>
      <c r="G111" s="74">
        <v>0</v>
      </c>
      <c r="H111" s="74">
        <v>0</v>
      </c>
      <c r="I111" s="74">
        <v>0</v>
      </c>
      <c r="J111" s="72"/>
      <c r="K111" s="72"/>
      <c r="L111" s="72" t="str">
        <f>J111&amp;K111</f>
        <v/>
      </c>
      <c r="M111" s="72"/>
    </row>
    <row r="112" spans="1:13" x14ac:dyDescent="0.25">
      <c r="A112" s="72"/>
      <c r="B112" s="73"/>
      <c r="C112" s="72"/>
      <c r="D112" s="72"/>
      <c r="E112" s="74">
        <v>0</v>
      </c>
      <c r="F112" s="74">
        <v>0</v>
      </c>
      <c r="G112" s="74">
        <v>0</v>
      </c>
      <c r="H112" s="74">
        <v>0</v>
      </c>
      <c r="I112" s="74">
        <v>0</v>
      </c>
      <c r="J112" s="72"/>
      <c r="K112" s="72"/>
      <c r="L112" s="72" t="str">
        <f>J112&amp;K112</f>
        <v/>
      </c>
      <c r="M112" s="72"/>
    </row>
    <row r="113" spans="1:13" x14ac:dyDescent="0.25">
      <c r="A113" s="72"/>
      <c r="B113" s="73"/>
      <c r="C113" s="72"/>
      <c r="D113" s="72"/>
      <c r="E113" s="74">
        <v>0</v>
      </c>
      <c r="F113" s="74">
        <v>0</v>
      </c>
      <c r="G113" s="74">
        <v>0</v>
      </c>
      <c r="H113" s="74">
        <v>0</v>
      </c>
      <c r="I113" s="74">
        <v>0</v>
      </c>
      <c r="J113" s="72"/>
      <c r="K113" s="72"/>
      <c r="L113" s="72" t="str">
        <f>J113&amp;K113</f>
        <v/>
      </c>
      <c r="M113" s="72"/>
    </row>
    <row r="114" spans="1:13" x14ac:dyDescent="0.25">
      <c r="A114" s="72"/>
      <c r="B114" s="73"/>
      <c r="C114" s="72"/>
      <c r="D114" s="72"/>
      <c r="E114" s="74">
        <v>0</v>
      </c>
      <c r="F114" s="74">
        <v>0</v>
      </c>
      <c r="G114" s="74">
        <v>0</v>
      </c>
      <c r="H114" s="74">
        <v>0</v>
      </c>
      <c r="I114" s="74">
        <v>0</v>
      </c>
      <c r="J114" s="72"/>
      <c r="K114" s="72"/>
      <c r="L114" s="72" t="str">
        <f>J114&amp;K114</f>
        <v/>
      </c>
      <c r="M114" s="72"/>
    </row>
    <row r="115" spans="1:13" x14ac:dyDescent="0.25">
      <c r="A115" s="72"/>
      <c r="B115" s="73"/>
      <c r="C115" s="72"/>
      <c r="D115" s="72"/>
      <c r="E115" s="74">
        <v>0</v>
      </c>
      <c r="F115" s="74">
        <v>0</v>
      </c>
      <c r="G115" s="74">
        <v>0</v>
      </c>
      <c r="H115" s="74">
        <v>0</v>
      </c>
      <c r="I115" s="74">
        <v>0</v>
      </c>
      <c r="J115" s="72"/>
      <c r="K115" s="72"/>
      <c r="L115" s="72" t="str">
        <f>J115&amp;K115</f>
        <v/>
      </c>
      <c r="M115" s="72"/>
    </row>
    <row r="116" spans="1:13" x14ac:dyDescent="0.25">
      <c r="A116" s="72"/>
      <c r="B116" s="73"/>
      <c r="C116" s="72"/>
      <c r="D116" s="72"/>
      <c r="E116" s="74">
        <v>0</v>
      </c>
      <c r="F116" s="74">
        <v>0</v>
      </c>
      <c r="G116" s="74">
        <v>0</v>
      </c>
      <c r="H116" s="74">
        <v>0</v>
      </c>
      <c r="I116" s="74">
        <v>0</v>
      </c>
      <c r="J116" s="72"/>
      <c r="K116" s="72"/>
      <c r="L116" s="72" t="str">
        <f>J116&amp;K116</f>
        <v/>
      </c>
      <c r="M116" s="72"/>
    </row>
    <row r="117" spans="1:13" x14ac:dyDescent="0.25">
      <c r="A117" s="72"/>
      <c r="B117" s="73"/>
      <c r="C117" s="72"/>
      <c r="D117" s="72"/>
      <c r="E117" s="74">
        <v>0</v>
      </c>
      <c r="F117" s="74">
        <v>0</v>
      </c>
      <c r="G117" s="74">
        <v>0</v>
      </c>
      <c r="H117" s="74">
        <v>0</v>
      </c>
      <c r="I117" s="74">
        <v>0</v>
      </c>
      <c r="J117" s="72"/>
      <c r="K117" s="72"/>
      <c r="L117" s="72" t="str">
        <f>J117&amp;K117</f>
        <v/>
      </c>
      <c r="M117" s="72"/>
    </row>
    <row r="118" spans="1:13" x14ac:dyDescent="0.25">
      <c r="A118" s="72"/>
      <c r="B118" s="73"/>
      <c r="C118" s="72"/>
      <c r="D118" s="72"/>
      <c r="E118" s="74">
        <v>0</v>
      </c>
      <c r="F118" s="74">
        <v>0</v>
      </c>
      <c r="G118" s="74">
        <v>0</v>
      </c>
      <c r="H118" s="74">
        <v>0</v>
      </c>
      <c r="I118" s="74">
        <v>0</v>
      </c>
      <c r="J118" s="72"/>
      <c r="K118" s="72"/>
      <c r="L118" s="72" t="str">
        <f>J118&amp;K118</f>
        <v/>
      </c>
      <c r="M118" s="72"/>
    </row>
    <row r="119" spans="1:13" x14ac:dyDescent="0.25">
      <c r="A119" s="72"/>
      <c r="B119" s="73"/>
      <c r="C119" s="72"/>
      <c r="D119" s="72"/>
      <c r="E119" s="74">
        <v>0</v>
      </c>
      <c r="F119" s="74">
        <v>0</v>
      </c>
      <c r="G119" s="74">
        <v>0</v>
      </c>
      <c r="H119" s="74">
        <v>0</v>
      </c>
      <c r="I119" s="74">
        <v>0</v>
      </c>
      <c r="J119" s="72"/>
      <c r="K119" s="72"/>
      <c r="L119" s="72" t="str">
        <f>J119&amp;K119</f>
        <v/>
      </c>
      <c r="M119" s="72"/>
    </row>
    <row r="120" spans="1:13" x14ac:dyDescent="0.25">
      <c r="A120" s="72"/>
      <c r="B120" s="73"/>
      <c r="C120" s="72"/>
      <c r="D120" s="72"/>
      <c r="E120" s="74">
        <v>0</v>
      </c>
      <c r="F120" s="74">
        <v>0</v>
      </c>
      <c r="G120" s="74">
        <v>0</v>
      </c>
      <c r="H120" s="74">
        <v>0</v>
      </c>
      <c r="I120" s="74">
        <v>0</v>
      </c>
      <c r="J120" s="72"/>
      <c r="K120" s="72"/>
      <c r="L120" s="72" t="str">
        <f>J120&amp;K120</f>
        <v/>
      </c>
      <c r="M120" s="72"/>
    </row>
    <row r="121" spans="1:13" x14ac:dyDescent="0.25">
      <c r="A121" s="72"/>
      <c r="B121" s="73"/>
      <c r="C121" s="72"/>
      <c r="D121" s="72"/>
      <c r="E121" s="74">
        <v>0</v>
      </c>
      <c r="F121" s="74">
        <v>0</v>
      </c>
      <c r="G121" s="74">
        <v>0</v>
      </c>
      <c r="H121" s="74">
        <v>0</v>
      </c>
      <c r="I121" s="74">
        <v>0</v>
      </c>
      <c r="J121" s="72"/>
      <c r="K121" s="72"/>
      <c r="L121" s="72" t="str">
        <f>J121&amp;K121</f>
        <v/>
      </c>
      <c r="M121" s="72"/>
    </row>
    <row r="122" spans="1:13" x14ac:dyDescent="0.25">
      <c r="A122" s="72"/>
      <c r="B122" s="73"/>
      <c r="C122" s="72"/>
      <c r="D122" s="72"/>
      <c r="E122" s="74">
        <v>0</v>
      </c>
      <c r="F122" s="74">
        <v>0</v>
      </c>
      <c r="G122" s="74">
        <v>0</v>
      </c>
      <c r="H122" s="74">
        <v>0</v>
      </c>
      <c r="I122" s="74">
        <v>0</v>
      </c>
      <c r="J122" s="72"/>
      <c r="K122" s="72"/>
      <c r="L122" s="72" t="str">
        <f>J122&amp;K122</f>
        <v/>
      </c>
      <c r="M122" s="72"/>
    </row>
    <row r="123" spans="1:13" x14ac:dyDescent="0.25">
      <c r="A123" s="72"/>
      <c r="B123" s="73"/>
      <c r="C123" s="72"/>
      <c r="D123" s="72"/>
      <c r="E123" s="74">
        <v>0</v>
      </c>
      <c r="F123" s="74">
        <v>0</v>
      </c>
      <c r="G123" s="74">
        <v>0</v>
      </c>
      <c r="H123" s="74">
        <v>0</v>
      </c>
      <c r="I123" s="74">
        <v>0</v>
      </c>
      <c r="J123" s="72"/>
      <c r="K123" s="72"/>
      <c r="L123" s="72" t="str">
        <f>J123&amp;K123</f>
        <v/>
      </c>
      <c r="M123" s="72"/>
    </row>
    <row r="124" spans="1:13" x14ac:dyDescent="0.25">
      <c r="A124" s="72"/>
      <c r="B124" s="73"/>
      <c r="C124" s="72"/>
      <c r="D124" s="72"/>
      <c r="E124" s="74">
        <v>0</v>
      </c>
      <c r="F124" s="74">
        <v>0</v>
      </c>
      <c r="G124" s="74">
        <v>0</v>
      </c>
      <c r="H124" s="74">
        <v>0</v>
      </c>
      <c r="I124" s="74">
        <v>0</v>
      </c>
      <c r="J124" s="72"/>
      <c r="K124" s="72"/>
      <c r="L124" s="72" t="str">
        <f>J124&amp;K124</f>
        <v/>
      </c>
      <c r="M124" s="72"/>
    </row>
    <row r="125" spans="1:13" x14ac:dyDescent="0.25">
      <c r="A125" s="72"/>
      <c r="B125" s="73"/>
      <c r="C125" s="72"/>
      <c r="D125" s="72"/>
      <c r="E125" s="74">
        <v>0</v>
      </c>
      <c r="F125" s="74">
        <v>0</v>
      </c>
      <c r="G125" s="74">
        <v>0</v>
      </c>
      <c r="H125" s="74">
        <v>0</v>
      </c>
      <c r="I125" s="74">
        <v>0</v>
      </c>
      <c r="J125" s="72"/>
      <c r="K125" s="72"/>
      <c r="L125" s="72" t="str">
        <f>J125&amp;K125</f>
        <v/>
      </c>
      <c r="M125" s="72"/>
    </row>
    <row r="126" spans="1:13" x14ac:dyDescent="0.25">
      <c r="A126" s="72"/>
      <c r="B126" s="73"/>
      <c r="C126" s="72"/>
      <c r="D126" s="72"/>
      <c r="E126" s="74">
        <v>0</v>
      </c>
      <c r="F126" s="74">
        <v>0</v>
      </c>
      <c r="G126" s="74">
        <v>0</v>
      </c>
      <c r="H126" s="74">
        <v>0</v>
      </c>
      <c r="I126" s="74">
        <v>0</v>
      </c>
      <c r="J126" s="72"/>
      <c r="K126" s="72"/>
      <c r="L126" s="72" t="str">
        <f>J126&amp;K126</f>
        <v/>
      </c>
      <c r="M126" s="72"/>
    </row>
    <row r="127" spans="1:13" x14ac:dyDescent="0.25">
      <c r="A127" s="72"/>
      <c r="B127" s="73"/>
      <c r="C127" s="72"/>
      <c r="D127" s="72"/>
      <c r="E127" s="74">
        <v>0</v>
      </c>
      <c r="F127" s="74">
        <v>0</v>
      </c>
      <c r="G127" s="74">
        <v>0</v>
      </c>
      <c r="H127" s="74">
        <v>0</v>
      </c>
      <c r="I127" s="74">
        <v>0</v>
      </c>
      <c r="J127" s="72"/>
      <c r="K127" s="72"/>
      <c r="L127" s="72" t="str">
        <f>J127&amp;K127</f>
        <v/>
      </c>
      <c r="M127" s="72"/>
    </row>
    <row r="128" spans="1:13" x14ac:dyDescent="0.25">
      <c r="A128" s="72"/>
      <c r="B128" s="73"/>
      <c r="C128" s="72"/>
      <c r="D128" s="72"/>
      <c r="E128" s="74">
        <v>0</v>
      </c>
      <c r="F128" s="74">
        <v>0</v>
      </c>
      <c r="G128" s="74">
        <v>0</v>
      </c>
      <c r="H128" s="74">
        <v>0</v>
      </c>
      <c r="I128" s="74">
        <v>0</v>
      </c>
      <c r="J128" s="72"/>
      <c r="K128" s="72"/>
      <c r="L128" s="72" t="str">
        <f>J128&amp;K128</f>
        <v/>
      </c>
      <c r="M128" s="72"/>
    </row>
    <row r="129" spans="1:13" x14ac:dyDescent="0.25">
      <c r="A129" s="72"/>
      <c r="B129" s="73"/>
      <c r="C129" s="72"/>
      <c r="D129" s="72"/>
      <c r="E129" s="74">
        <v>0</v>
      </c>
      <c r="F129" s="74">
        <v>0</v>
      </c>
      <c r="G129" s="74">
        <v>0</v>
      </c>
      <c r="H129" s="74">
        <v>0</v>
      </c>
      <c r="I129" s="74">
        <v>0</v>
      </c>
      <c r="J129" s="72"/>
      <c r="K129" s="72"/>
      <c r="L129" s="72" t="str">
        <f>J129&amp;K129</f>
        <v/>
      </c>
      <c r="M129" s="72"/>
    </row>
    <row r="130" spans="1:13" x14ac:dyDescent="0.25">
      <c r="A130" s="72"/>
      <c r="B130" s="73"/>
      <c r="C130" s="72"/>
      <c r="D130" s="72"/>
      <c r="E130" s="74">
        <v>0</v>
      </c>
      <c r="F130" s="74">
        <v>0</v>
      </c>
      <c r="G130" s="74">
        <v>0</v>
      </c>
      <c r="H130" s="74">
        <v>0</v>
      </c>
      <c r="I130" s="74">
        <v>0</v>
      </c>
      <c r="J130" s="72"/>
      <c r="K130" s="72"/>
      <c r="L130" s="72" t="str">
        <f>J130&amp;K130</f>
        <v/>
      </c>
      <c r="M130" s="72"/>
    </row>
    <row r="131" spans="1:13" x14ac:dyDescent="0.25">
      <c r="A131" s="72"/>
      <c r="B131" s="73"/>
      <c r="C131" s="72"/>
      <c r="D131" s="72"/>
      <c r="E131" s="74">
        <v>0</v>
      </c>
      <c r="F131" s="74">
        <v>0</v>
      </c>
      <c r="G131" s="74">
        <v>0</v>
      </c>
      <c r="H131" s="74">
        <v>0</v>
      </c>
      <c r="I131" s="74">
        <v>0</v>
      </c>
      <c r="J131" s="72"/>
      <c r="K131" s="72"/>
      <c r="L131" s="72" t="str">
        <f>J131&amp;K131</f>
        <v/>
      </c>
      <c r="M131" s="72"/>
    </row>
    <row r="132" spans="1:13" x14ac:dyDescent="0.25">
      <c r="A132" s="72"/>
      <c r="B132" s="73"/>
      <c r="C132" s="72"/>
      <c r="D132" s="72"/>
      <c r="E132" s="74">
        <v>0</v>
      </c>
      <c r="F132" s="74">
        <v>0</v>
      </c>
      <c r="G132" s="74">
        <v>0</v>
      </c>
      <c r="H132" s="74">
        <v>0</v>
      </c>
      <c r="I132" s="74">
        <v>0</v>
      </c>
      <c r="J132" s="72"/>
      <c r="K132" s="72"/>
      <c r="L132" s="72" t="str">
        <f>J132&amp;K132</f>
        <v/>
      </c>
      <c r="M132" s="72"/>
    </row>
    <row r="133" spans="1:13" x14ac:dyDescent="0.25">
      <c r="A133" s="72"/>
      <c r="B133" s="73"/>
      <c r="C133" s="72"/>
      <c r="D133" s="72"/>
      <c r="E133" s="74">
        <v>0</v>
      </c>
      <c r="F133" s="74">
        <v>0</v>
      </c>
      <c r="G133" s="74">
        <v>0</v>
      </c>
      <c r="H133" s="74">
        <v>0</v>
      </c>
      <c r="I133" s="74">
        <v>0</v>
      </c>
      <c r="J133" s="72"/>
      <c r="K133" s="72"/>
      <c r="L133" s="72" t="str">
        <f>J133&amp;K133</f>
        <v/>
      </c>
      <c r="M133" s="72"/>
    </row>
    <row r="134" spans="1:13" x14ac:dyDescent="0.25">
      <c r="A134" s="72"/>
      <c r="B134" s="73"/>
      <c r="C134" s="72"/>
      <c r="D134" s="72"/>
      <c r="E134" s="74">
        <v>0</v>
      </c>
      <c r="F134" s="74">
        <v>0</v>
      </c>
      <c r="G134" s="74">
        <v>0</v>
      </c>
      <c r="H134" s="74">
        <v>0</v>
      </c>
      <c r="I134" s="74">
        <v>0</v>
      </c>
      <c r="J134" s="72"/>
      <c r="K134" s="72"/>
      <c r="L134" s="72" t="str">
        <f>J134&amp;K134</f>
        <v/>
      </c>
      <c r="M134" s="72"/>
    </row>
    <row r="135" spans="1:13" x14ac:dyDescent="0.25">
      <c r="A135" s="72"/>
      <c r="B135" s="73"/>
      <c r="C135" s="72"/>
      <c r="D135" s="72"/>
      <c r="E135" s="74">
        <v>0</v>
      </c>
      <c r="F135" s="74">
        <v>0</v>
      </c>
      <c r="G135" s="74">
        <v>0</v>
      </c>
      <c r="H135" s="74">
        <v>0</v>
      </c>
      <c r="I135" s="74">
        <v>0</v>
      </c>
      <c r="J135" s="72"/>
      <c r="K135" s="72"/>
      <c r="L135" s="72" t="str">
        <f>J135&amp;K135</f>
        <v/>
      </c>
      <c r="M135" s="72"/>
    </row>
    <row r="136" spans="1:13" x14ac:dyDescent="0.25">
      <c r="A136" s="72"/>
      <c r="B136" s="73"/>
      <c r="C136" s="72"/>
      <c r="D136" s="72"/>
      <c r="E136" s="74">
        <v>0</v>
      </c>
      <c r="F136" s="74">
        <v>0</v>
      </c>
      <c r="G136" s="74">
        <v>0</v>
      </c>
      <c r="H136" s="74">
        <v>0</v>
      </c>
      <c r="I136" s="74">
        <v>0</v>
      </c>
      <c r="J136" s="72"/>
      <c r="K136" s="72"/>
      <c r="L136" s="72" t="str">
        <f>J136&amp;K136</f>
        <v/>
      </c>
      <c r="M136" s="72"/>
    </row>
    <row r="137" spans="1:13" x14ac:dyDescent="0.25">
      <c r="A137" s="72"/>
      <c r="B137" s="73"/>
      <c r="C137" s="72"/>
      <c r="D137" s="72"/>
      <c r="E137" s="74">
        <v>0</v>
      </c>
      <c r="F137" s="74">
        <v>0</v>
      </c>
      <c r="G137" s="74">
        <v>0</v>
      </c>
      <c r="H137" s="74">
        <v>0</v>
      </c>
      <c r="I137" s="74">
        <v>0</v>
      </c>
      <c r="J137" s="72"/>
      <c r="K137" s="72"/>
      <c r="L137" s="72" t="str">
        <f>J137&amp;K137</f>
        <v/>
      </c>
      <c r="M137" s="72"/>
    </row>
    <row r="138" spans="1:13" x14ac:dyDescent="0.25">
      <c r="A138" s="72"/>
      <c r="B138" s="73"/>
      <c r="C138" s="72"/>
      <c r="D138" s="72"/>
      <c r="E138" s="74">
        <v>0</v>
      </c>
      <c r="F138" s="74">
        <v>0</v>
      </c>
      <c r="G138" s="74">
        <v>0</v>
      </c>
      <c r="H138" s="74">
        <v>0</v>
      </c>
      <c r="I138" s="74">
        <v>0</v>
      </c>
      <c r="J138" s="72"/>
      <c r="K138" s="72"/>
      <c r="L138" s="72" t="str">
        <f>J138&amp;K138</f>
        <v/>
      </c>
      <c r="M138" s="72"/>
    </row>
    <row r="139" spans="1:13" x14ac:dyDescent="0.25">
      <c r="A139" s="72"/>
      <c r="B139" s="73"/>
      <c r="C139" s="72"/>
      <c r="D139" s="72"/>
      <c r="E139" s="74">
        <v>0</v>
      </c>
      <c r="F139" s="74">
        <v>0</v>
      </c>
      <c r="G139" s="74">
        <v>0</v>
      </c>
      <c r="H139" s="74">
        <v>0</v>
      </c>
      <c r="I139" s="74">
        <v>0</v>
      </c>
      <c r="J139" s="72"/>
      <c r="K139" s="72"/>
      <c r="L139" s="72" t="str">
        <f>J139&amp;K139</f>
        <v/>
      </c>
      <c r="M139" s="72"/>
    </row>
    <row r="140" spans="1:13" x14ac:dyDescent="0.25">
      <c r="A140" s="72"/>
      <c r="B140" s="73"/>
      <c r="C140" s="72"/>
      <c r="D140" s="72"/>
      <c r="E140" s="74">
        <v>0</v>
      </c>
      <c r="F140" s="74">
        <v>0</v>
      </c>
      <c r="G140" s="74">
        <v>0</v>
      </c>
      <c r="H140" s="74">
        <v>0</v>
      </c>
      <c r="I140" s="74">
        <v>0</v>
      </c>
      <c r="J140" s="72"/>
      <c r="K140" s="72"/>
      <c r="L140" s="72" t="str">
        <f>J140&amp;K140</f>
        <v/>
      </c>
      <c r="M140" s="72"/>
    </row>
    <row r="141" spans="1:13" x14ac:dyDescent="0.25">
      <c r="A141" s="72"/>
      <c r="B141" s="73"/>
      <c r="C141" s="72"/>
      <c r="D141" s="72"/>
      <c r="E141" s="74">
        <v>0</v>
      </c>
      <c r="F141" s="74">
        <v>0</v>
      </c>
      <c r="G141" s="74">
        <v>0</v>
      </c>
      <c r="H141" s="74">
        <v>0</v>
      </c>
      <c r="I141" s="74">
        <v>0</v>
      </c>
      <c r="J141" s="72"/>
      <c r="K141" s="72"/>
      <c r="L141" s="72" t="str">
        <f>J141&amp;K141</f>
        <v/>
      </c>
      <c r="M141" s="72"/>
    </row>
    <row r="142" spans="1:13" x14ac:dyDescent="0.25">
      <c r="A142" s="72"/>
      <c r="B142" s="73"/>
      <c r="C142" s="72"/>
      <c r="D142" s="72"/>
      <c r="E142" s="74">
        <v>0</v>
      </c>
      <c r="F142" s="74">
        <v>0</v>
      </c>
      <c r="G142" s="74">
        <v>0</v>
      </c>
      <c r="H142" s="74">
        <v>0</v>
      </c>
      <c r="I142" s="74">
        <v>0</v>
      </c>
      <c r="J142" s="72"/>
      <c r="K142" s="72"/>
      <c r="L142" s="72" t="str">
        <f>J142&amp;K142</f>
        <v/>
      </c>
      <c r="M142" s="72"/>
    </row>
    <row r="143" spans="1:13" x14ac:dyDescent="0.25">
      <c r="A143" s="72"/>
      <c r="B143" s="73"/>
      <c r="C143" s="72"/>
      <c r="D143" s="72"/>
      <c r="E143" s="74">
        <v>0</v>
      </c>
      <c r="F143" s="74">
        <v>0</v>
      </c>
      <c r="G143" s="74">
        <v>0</v>
      </c>
      <c r="H143" s="74">
        <v>0</v>
      </c>
      <c r="I143" s="74">
        <v>0</v>
      </c>
      <c r="J143" s="72"/>
      <c r="K143" s="72"/>
      <c r="L143" s="72" t="str">
        <f>J143&amp;K143</f>
        <v/>
      </c>
      <c r="M143" s="72"/>
    </row>
    <row r="144" spans="1:13" x14ac:dyDescent="0.25">
      <c r="A144" s="72"/>
      <c r="B144" s="73"/>
      <c r="C144" s="72"/>
      <c r="D144" s="72"/>
      <c r="E144" s="74">
        <v>0</v>
      </c>
      <c r="F144" s="74">
        <v>0</v>
      </c>
      <c r="G144" s="74">
        <v>0</v>
      </c>
      <c r="H144" s="74">
        <v>0</v>
      </c>
      <c r="I144" s="74">
        <v>0</v>
      </c>
      <c r="J144" s="72"/>
      <c r="K144" s="72"/>
      <c r="L144" s="72" t="str">
        <f>J144&amp;K144</f>
        <v/>
      </c>
      <c r="M144" s="72"/>
    </row>
    <row r="145" spans="1:13" x14ac:dyDescent="0.25">
      <c r="A145" s="72"/>
      <c r="B145" s="73"/>
      <c r="C145" s="72"/>
      <c r="D145" s="72"/>
      <c r="E145" s="74">
        <v>0</v>
      </c>
      <c r="F145" s="74">
        <v>0</v>
      </c>
      <c r="G145" s="74">
        <v>0</v>
      </c>
      <c r="H145" s="74">
        <v>0</v>
      </c>
      <c r="I145" s="74">
        <v>0</v>
      </c>
      <c r="J145" s="72"/>
      <c r="K145" s="72"/>
      <c r="L145" s="72" t="str">
        <f>J145&amp;K145</f>
        <v/>
      </c>
      <c r="M145" s="72"/>
    </row>
    <row r="146" spans="1:13" x14ac:dyDescent="0.25">
      <c r="A146" s="72"/>
      <c r="B146" s="73"/>
      <c r="C146" s="72"/>
      <c r="D146" s="72"/>
      <c r="E146" s="74">
        <v>0</v>
      </c>
      <c r="F146" s="74">
        <v>0</v>
      </c>
      <c r="G146" s="74">
        <v>0</v>
      </c>
      <c r="H146" s="74">
        <v>0</v>
      </c>
      <c r="I146" s="74">
        <v>0</v>
      </c>
      <c r="J146" s="72"/>
      <c r="K146" s="72"/>
      <c r="L146" s="72" t="str">
        <f>J146&amp;K146</f>
        <v/>
      </c>
      <c r="M146" s="72"/>
    </row>
    <row r="147" spans="1:13" x14ac:dyDescent="0.25">
      <c r="A147" s="72"/>
      <c r="B147" s="73"/>
      <c r="C147" s="72"/>
      <c r="D147" s="72"/>
      <c r="E147" s="74">
        <v>0</v>
      </c>
      <c r="F147" s="74">
        <v>0</v>
      </c>
      <c r="G147" s="74">
        <v>0</v>
      </c>
      <c r="H147" s="74">
        <v>0</v>
      </c>
      <c r="I147" s="74">
        <v>0</v>
      </c>
      <c r="J147" s="72"/>
      <c r="K147" s="72"/>
      <c r="L147" s="72" t="str">
        <f>J147&amp;K147</f>
        <v/>
      </c>
      <c r="M147" s="72"/>
    </row>
    <row r="148" spans="1:13" x14ac:dyDescent="0.25">
      <c r="A148" s="72"/>
      <c r="B148" s="73"/>
      <c r="C148" s="72"/>
      <c r="D148" s="72"/>
      <c r="E148" s="74">
        <v>0</v>
      </c>
      <c r="F148" s="74">
        <v>0</v>
      </c>
      <c r="G148" s="74">
        <v>0</v>
      </c>
      <c r="H148" s="74">
        <v>0</v>
      </c>
      <c r="I148" s="74">
        <v>0</v>
      </c>
      <c r="J148" s="72"/>
      <c r="K148" s="72"/>
      <c r="L148" s="72" t="str">
        <f>J148&amp;K148</f>
        <v/>
      </c>
      <c r="M148" s="72"/>
    </row>
    <row r="149" spans="1:13" x14ac:dyDescent="0.25">
      <c r="A149" s="72"/>
      <c r="B149" s="73"/>
      <c r="C149" s="72"/>
      <c r="D149" s="72"/>
      <c r="E149" s="74">
        <v>0</v>
      </c>
      <c r="F149" s="74">
        <v>0</v>
      </c>
      <c r="G149" s="74">
        <v>0</v>
      </c>
      <c r="H149" s="74">
        <v>0</v>
      </c>
      <c r="I149" s="74">
        <v>0</v>
      </c>
      <c r="J149" s="72"/>
      <c r="K149" s="72"/>
      <c r="L149" s="72" t="str">
        <f>J149&amp;K149</f>
        <v/>
      </c>
      <c r="M149" s="72"/>
    </row>
    <row r="150" spans="1:13" x14ac:dyDescent="0.25">
      <c r="A150" s="72"/>
      <c r="B150" s="73"/>
      <c r="C150" s="72"/>
      <c r="D150" s="72"/>
      <c r="E150" s="74">
        <v>0</v>
      </c>
      <c r="F150" s="74">
        <v>0</v>
      </c>
      <c r="G150" s="74">
        <v>0</v>
      </c>
      <c r="H150" s="74">
        <v>0</v>
      </c>
      <c r="I150" s="74">
        <v>0</v>
      </c>
      <c r="J150" s="72"/>
      <c r="K150" s="72"/>
      <c r="L150" s="72" t="str">
        <f>J150&amp;K150</f>
        <v/>
      </c>
      <c r="M150" s="72"/>
    </row>
    <row r="151" spans="1:13" x14ac:dyDescent="0.25">
      <c r="A151" s="72"/>
      <c r="B151" s="73"/>
      <c r="C151" s="72"/>
      <c r="D151" s="72"/>
      <c r="E151" s="74">
        <v>0</v>
      </c>
      <c r="F151" s="74">
        <v>0</v>
      </c>
      <c r="G151" s="74">
        <v>0</v>
      </c>
      <c r="H151" s="74">
        <v>0</v>
      </c>
      <c r="I151" s="74">
        <v>0</v>
      </c>
      <c r="J151" s="72"/>
      <c r="K151" s="72"/>
      <c r="L151" s="72" t="str">
        <f>J151&amp;K151</f>
        <v/>
      </c>
      <c r="M151" s="72"/>
    </row>
    <row r="152" spans="1:13" x14ac:dyDescent="0.25">
      <c r="A152" s="72"/>
      <c r="B152" s="73"/>
      <c r="C152" s="72"/>
      <c r="D152" s="72"/>
      <c r="E152" s="74">
        <v>0</v>
      </c>
      <c r="F152" s="74">
        <v>0</v>
      </c>
      <c r="G152" s="74">
        <v>0</v>
      </c>
      <c r="H152" s="74">
        <v>0</v>
      </c>
      <c r="I152" s="74">
        <v>0</v>
      </c>
      <c r="J152" s="72"/>
      <c r="K152" s="72"/>
      <c r="L152" s="72" t="str">
        <f>J152&amp;K152</f>
        <v/>
      </c>
      <c r="M152" s="72"/>
    </row>
    <row r="153" spans="1:13" x14ac:dyDescent="0.25">
      <c r="A153" s="72"/>
      <c r="B153" s="73"/>
      <c r="C153" s="72"/>
      <c r="D153" s="72"/>
      <c r="E153" s="74">
        <v>0</v>
      </c>
      <c r="F153" s="74">
        <v>0</v>
      </c>
      <c r="G153" s="74">
        <v>0</v>
      </c>
      <c r="H153" s="74">
        <v>0</v>
      </c>
      <c r="I153" s="74">
        <v>0</v>
      </c>
      <c r="J153" s="72"/>
      <c r="K153" s="72"/>
      <c r="L153" s="72" t="str">
        <f>J153&amp;K153</f>
        <v/>
      </c>
      <c r="M153" s="72"/>
    </row>
    <row r="154" spans="1:13" x14ac:dyDescent="0.25">
      <c r="A154" s="72"/>
      <c r="B154" s="73"/>
      <c r="C154" s="72"/>
      <c r="D154" s="72"/>
      <c r="E154" s="74">
        <v>0</v>
      </c>
      <c r="F154" s="74">
        <v>0</v>
      </c>
      <c r="G154" s="74">
        <v>0</v>
      </c>
      <c r="H154" s="74">
        <v>0</v>
      </c>
      <c r="I154" s="74">
        <v>0</v>
      </c>
      <c r="J154" s="72"/>
      <c r="K154" s="72"/>
      <c r="L154" s="72" t="str">
        <f>J154&amp;K154</f>
        <v/>
      </c>
      <c r="M154" s="72"/>
    </row>
    <row r="155" spans="1:13" x14ac:dyDescent="0.25">
      <c r="A155" s="72"/>
      <c r="B155" s="73"/>
      <c r="C155" s="72"/>
      <c r="D155" s="72"/>
      <c r="E155" s="74">
        <v>0</v>
      </c>
      <c r="F155" s="74">
        <v>0</v>
      </c>
      <c r="G155" s="74">
        <v>0</v>
      </c>
      <c r="H155" s="74">
        <v>0</v>
      </c>
      <c r="I155" s="74">
        <v>0</v>
      </c>
      <c r="J155" s="72"/>
      <c r="K155" s="72"/>
      <c r="L155" s="72" t="str">
        <f>J155&amp;K155</f>
        <v/>
      </c>
      <c r="M155" s="72"/>
    </row>
    <row r="156" spans="1:13" x14ac:dyDescent="0.25">
      <c r="A156" s="72"/>
      <c r="B156" s="73"/>
      <c r="C156" s="72"/>
      <c r="D156" s="72"/>
      <c r="E156" s="74">
        <v>0</v>
      </c>
      <c r="F156" s="74">
        <v>0</v>
      </c>
      <c r="G156" s="74">
        <v>0</v>
      </c>
      <c r="H156" s="74">
        <v>0</v>
      </c>
      <c r="I156" s="74">
        <v>0</v>
      </c>
      <c r="J156" s="72"/>
      <c r="K156" s="72"/>
      <c r="L156" s="72" t="str">
        <f>J156&amp;K156</f>
        <v/>
      </c>
      <c r="M156" s="72"/>
    </row>
    <row r="157" spans="1:13" x14ac:dyDescent="0.25">
      <c r="A157" s="72"/>
      <c r="B157" s="73"/>
      <c r="C157" s="72"/>
      <c r="D157" s="72"/>
      <c r="E157" s="74">
        <v>0</v>
      </c>
      <c r="F157" s="74">
        <v>0</v>
      </c>
      <c r="G157" s="74">
        <v>0</v>
      </c>
      <c r="H157" s="74">
        <v>0</v>
      </c>
      <c r="I157" s="74">
        <v>0</v>
      </c>
      <c r="J157" s="72"/>
      <c r="K157" s="72"/>
      <c r="L157" s="72" t="str">
        <f>J157&amp;K157</f>
        <v/>
      </c>
      <c r="M157" s="72"/>
    </row>
    <row r="158" spans="1:13" x14ac:dyDescent="0.25">
      <c r="A158" s="72"/>
      <c r="B158" s="73"/>
      <c r="C158" s="72"/>
      <c r="D158" s="72"/>
      <c r="E158" s="74">
        <v>0</v>
      </c>
      <c r="F158" s="74">
        <v>0</v>
      </c>
      <c r="G158" s="74">
        <v>0</v>
      </c>
      <c r="H158" s="74">
        <v>0</v>
      </c>
      <c r="I158" s="74">
        <v>0</v>
      </c>
      <c r="J158" s="72"/>
      <c r="K158" s="72"/>
      <c r="L158" s="72" t="str">
        <f>J158&amp;K158</f>
        <v/>
      </c>
      <c r="M158" s="72"/>
    </row>
    <row r="159" spans="1:13" x14ac:dyDescent="0.25">
      <c r="A159" s="72"/>
      <c r="B159" s="73"/>
      <c r="C159" s="72"/>
      <c r="D159" s="72"/>
      <c r="E159" s="74">
        <v>0</v>
      </c>
      <c r="F159" s="74">
        <v>0</v>
      </c>
      <c r="G159" s="74">
        <v>0</v>
      </c>
      <c r="H159" s="74">
        <v>0</v>
      </c>
      <c r="I159" s="74">
        <v>0</v>
      </c>
      <c r="J159" s="72"/>
      <c r="K159" s="72"/>
      <c r="L159" s="72" t="str">
        <f>J159&amp;K159</f>
        <v/>
      </c>
      <c r="M159" s="72"/>
    </row>
    <row r="160" spans="1:13" x14ac:dyDescent="0.25">
      <c r="A160" s="72"/>
      <c r="B160" s="73"/>
      <c r="C160" s="72"/>
      <c r="D160" s="72"/>
      <c r="E160" s="74">
        <v>0</v>
      </c>
      <c r="F160" s="74">
        <v>0</v>
      </c>
      <c r="G160" s="74">
        <v>0</v>
      </c>
      <c r="H160" s="74">
        <v>0</v>
      </c>
      <c r="I160" s="74">
        <v>0</v>
      </c>
      <c r="J160" s="72"/>
      <c r="K160" s="72"/>
      <c r="L160" s="72" t="str">
        <f>J160&amp;K160</f>
        <v/>
      </c>
      <c r="M160" s="72"/>
    </row>
    <row r="161" spans="1:13" x14ac:dyDescent="0.25">
      <c r="A161" s="72"/>
      <c r="B161" s="73"/>
      <c r="C161" s="72"/>
      <c r="D161" s="72"/>
      <c r="E161" s="74">
        <v>0</v>
      </c>
      <c r="F161" s="74">
        <v>0</v>
      </c>
      <c r="G161" s="74">
        <v>0</v>
      </c>
      <c r="H161" s="74">
        <v>0</v>
      </c>
      <c r="I161" s="74">
        <v>0</v>
      </c>
      <c r="J161" s="72"/>
      <c r="K161" s="72"/>
      <c r="L161" s="72" t="str">
        <f>J161&amp;K161</f>
        <v/>
      </c>
      <c r="M161" s="72"/>
    </row>
    <row r="162" spans="1:13" x14ac:dyDescent="0.25">
      <c r="A162" s="72"/>
      <c r="B162" s="73"/>
      <c r="C162" s="72"/>
      <c r="D162" s="72"/>
      <c r="E162" s="74">
        <v>0</v>
      </c>
      <c r="F162" s="74">
        <v>0</v>
      </c>
      <c r="G162" s="74">
        <v>0</v>
      </c>
      <c r="H162" s="74">
        <v>0</v>
      </c>
      <c r="I162" s="74">
        <v>0</v>
      </c>
      <c r="J162" s="72"/>
      <c r="K162" s="72"/>
      <c r="L162" s="72" t="str">
        <f>J162&amp;K162</f>
        <v/>
      </c>
      <c r="M162" s="72"/>
    </row>
    <row r="163" spans="1:13" x14ac:dyDescent="0.25">
      <c r="A163" s="72"/>
      <c r="B163" s="73"/>
      <c r="C163" s="72"/>
      <c r="D163" s="72"/>
      <c r="E163" s="74">
        <v>0</v>
      </c>
      <c r="F163" s="74">
        <v>0</v>
      </c>
      <c r="G163" s="74">
        <v>0</v>
      </c>
      <c r="H163" s="74">
        <v>0</v>
      </c>
      <c r="I163" s="74">
        <v>0</v>
      </c>
      <c r="J163" s="72"/>
      <c r="K163" s="72"/>
      <c r="L163" s="72" t="str">
        <f>J163&amp;K163</f>
        <v/>
      </c>
      <c r="M163" s="72"/>
    </row>
    <row r="164" spans="1:13" x14ac:dyDescent="0.25">
      <c r="A164" s="72"/>
      <c r="B164" s="73"/>
      <c r="C164" s="72"/>
      <c r="D164" s="72"/>
      <c r="E164" s="74">
        <v>0</v>
      </c>
      <c r="F164" s="74">
        <v>0</v>
      </c>
      <c r="G164" s="74">
        <v>0</v>
      </c>
      <c r="H164" s="74">
        <v>0</v>
      </c>
      <c r="I164" s="74">
        <v>0</v>
      </c>
      <c r="J164" s="72"/>
      <c r="K164" s="72"/>
      <c r="L164" s="72" t="str">
        <f>J164&amp;K164</f>
        <v/>
      </c>
      <c r="M164" s="72"/>
    </row>
    <row r="165" spans="1:13" x14ac:dyDescent="0.25">
      <c r="A165" s="72"/>
      <c r="B165" s="73"/>
      <c r="C165" s="72"/>
      <c r="D165" s="72"/>
      <c r="E165" s="74">
        <v>0</v>
      </c>
      <c r="F165" s="74">
        <v>0</v>
      </c>
      <c r="G165" s="74">
        <v>0</v>
      </c>
      <c r="H165" s="74">
        <v>0</v>
      </c>
      <c r="I165" s="74">
        <v>0</v>
      </c>
      <c r="J165" s="72"/>
      <c r="K165" s="72"/>
      <c r="L165" s="72" t="str">
        <f>J165&amp;K165</f>
        <v/>
      </c>
      <c r="M165" s="72"/>
    </row>
    <row r="166" spans="1:13" x14ac:dyDescent="0.25">
      <c r="A166" s="72"/>
      <c r="B166" s="73"/>
      <c r="C166" s="72"/>
      <c r="D166" s="72"/>
      <c r="E166" s="74">
        <v>0</v>
      </c>
      <c r="F166" s="74">
        <v>0</v>
      </c>
      <c r="G166" s="74">
        <v>0</v>
      </c>
      <c r="H166" s="74">
        <v>0</v>
      </c>
      <c r="I166" s="74">
        <v>0</v>
      </c>
      <c r="J166" s="72"/>
      <c r="K166" s="72"/>
      <c r="L166" s="72" t="str">
        <f>J166&amp;K166</f>
        <v/>
      </c>
      <c r="M166" s="72"/>
    </row>
    <row r="167" spans="1:13" x14ac:dyDescent="0.25">
      <c r="A167" s="72"/>
      <c r="B167" s="73"/>
      <c r="C167" s="72"/>
      <c r="D167" s="72"/>
      <c r="E167" s="74">
        <v>0</v>
      </c>
      <c r="F167" s="74">
        <v>0</v>
      </c>
      <c r="G167" s="74">
        <v>0</v>
      </c>
      <c r="H167" s="74">
        <v>0</v>
      </c>
      <c r="I167" s="74">
        <v>0</v>
      </c>
      <c r="J167" s="72"/>
      <c r="K167" s="72"/>
      <c r="L167" s="72" t="str">
        <f>J167&amp;K167</f>
        <v/>
      </c>
      <c r="M167" s="72"/>
    </row>
    <row r="168" spans="1:13" x14ac:dyDescent="0.25">
      <c r="A168" s="72"/>
      <c r="B168" s="73"/>
      <c r="C168" s="72"/>
      <c r="D168" s="72"/>
      <c r="E168" s="74">
        <v>0</v>
      </c>
      <c r="F168" s="74">
        <v>0</v>
      </c>
      <c r="G168" s="74">
        <v>0</v>
      </c>
      <c r="H168" s="74">
        <v>0</v>
      </c>
      <c r="I168" s="74">
        <v>0</v>
      </c>
      <c r="J168" s="72"/>
      <c r="K168" s="72"/>
      <c r="L168" s="72" t="str">
        <f>J168&amp;K168</f>
        <v/>
      </c>
      <c r="M168" s="72"/>
    </row>
    <row r="169" spans="1:13" x14ac:dyDescent="0.25">
      <c r="A169" s="72"/>
      <c r="B169" s="73"/>
      <c r="C169" s="72"/>
      <c r="D169" s="72"/>
      <c r="E169" s="74">
        <v>0</v>
      </c>
      <c r="F169" s="74">
        <v>0</v>
      </c>
      <c r="G169" s="74">
        <v>0</v>
      </c>
      <c r="H169" s="74">
        <v>0</v>
      </c>
      <c r="I169" s="74">
        <v>0</v>
      </c>
      <c r="J169" s="72"/>
      <c r="K169" s="72"/>
      <c r="L169" s="72" t="str">
        <f>J169&amp;K169</f>
        <v/>
      </c>
      <c r="M169" s="72"/>
    </row>
    <row r="170" spans="1:13" x14ac:dyDescent="0.25">
      <c r="A170" s="72"/>
      <c r="B170" s="73"/>
      <c r="C170" s="72"/>
      <c r="D170" s="72"/>
      <c r="E170" s="74">
        <v>0</v>
      </c>
      <c r="F170" s="74">
        <v>0</v>
      </c>
      <c r="G170" s="74">
        <v>0</v>
      </c>
      <c r="H170" s="74">
        <v>0</v>
      </c>
      <c r="I170" s="74">
        <v>0</v>
      </c>
      <c r="J170" s="72"/>
      <c r="K170" s="72"/>
      <c r="L170" s="72" t="str">
        <f>J170&amp;K170</f>
        <v/>
      </c>
      <c r="M170" s="72"/>
    </row>
    <row r="171" spans="1:13" x14ac:dyDescent="0.25">
      <c r="A171" s="72"/>
      <c r="B171" s="73"/>
      <c r="C171" s="72"/>
      <c r="D171" s="72"/>
      <c r="E171" s="74">
        <v>0</v>
      </c>
      <c r="F171" s="74">
        <v>0</v>
      </c>
      <c r="G171" s="74">
        <v>0</v>
      </c>
      <c r="H171" s="74">
        <v>0</v>
      </c>
      <c r="I171" s="74">
        <v>0</v>
      </c>
      <c r="J171" s="72"/>
      <c r="K171" s="72"/>
      <c r="L171" s="72" t="str">
        <f>J171&amp;K171</f>
        <v/>
      </c>
      <c r="M171" s="72"/>
    </row>
    <row r="172" spans="1:13" x14ac:dyDescent="0.25">
      <c r="A172" s="72"/>
      <c r="B172" s="73"/>
      <c r="C172" s="72"/>
      <c r="D172" s="72"/>
      <c r="E172" s="74">
        <v>0</v>
      </c>
      <c r="F172" s="74">
        <v>0</v>
      </c>
      <c r="G172" s="74">
        <v>0</v>
      </c>
      <c r="H172" s="74">
        <v>0</v>
      </c>
      <c r="I172" s="74">
        <v>0</v>
      </c>
      <c r="J172" s="72"/>
      <c r="K172" s="72"/>
      <c r="L172" s="72" t="str">
        <f>J172&amp;K172</f>
        <v/>
      </c>
      <c r="M172" s="72"/>
    </row>
    <row r="173" spans="1:13" x14ac:dyDescent="0.25">
      <c r="A173" s="72"/>
      <c r="B173" s="73"/>
      <c r="C173" s="72"/>
      <c r="D173" s="72"/>
      <c r="E173" s="74">
        <v>0</v>
      </c>
      <c r="F173" s="74">
        <v>0</v>
      </c>
      <c r="G173" s="74">
        <v>0</v>
      </c>
      <c r="H173" s="74">
        <v>0</v>
      </c>
      <c r="I173" s="74">
        <v>0</v>
      </c>
      <c r="J173" s="72"/>
      <c r="K173" s="72"/>
      <c r="L173" s="72" t="str">
        <f>J173&amp;K173</f>
        <v/>
      </c>
      <c r="M173" s="72"/>
    </row>
    <row r="174" spans="1:13" x14ac:dyDescent="0.25">
      <c r="A174" s="72"/>
      <c r="B174" s="73"/>
      <c r="C174" s="72"/>
      <c r="D174" s="72"/>
      <c r="E174" s="74">
        <v>0</v>
      </c>
      <c r="F174" s="74">
        <v>0</v>
      </c>
      <c r="G174" s="74">
        <v>0</v>
      </c>
      <c r="H174" s="74">
        <v>0</v>
      </c>
      <c r="I174" s="74">
        <v>0</v>
      </c>
      <c r="J174" s="72"/>
      <c r="K174" s="72"/>
      <c r="L174" s="72" t="str">
        <f>J174&amp;K174</f>
        <v/>
      </c>
      <c r="M174" s="72"/>
    </row>
    <row r="175" spans="1:13" x14ac:dyDescent="0.25">
      <c r="A175" s="72"/>
      <c r="B175" s="73"/>
      <c r="C175" s="72"/>
      <c r="D175" s="72"/>
      <c r="E175" s="74">
        <v>0</v>
      </c>
      <c r="F175" s="74">
        <v>0</v>
      </c>
      <c r="G175" s="74">
        <v>0</v>
      </c>
      <c r="H175" s="74">
        <v>0</v>
      </c>
      <c r="I175" s="74">
        <v>0</v>
      </c>
      <c r="J175" s="72"/>
      <c r="K175" s="72"/>
      <c r="L175" s="72" t="str">
        <f>J175&amp;K175</f>
        <v/>
      </c>
      <c r="M175" s="72"/>
    </row>
    <row r="176" spans="1:13" x14ac:dyDescent="0.25">
      <c r="A176" s="72"/>
      <c r="B176" s="73"/>
      <c r="C176" s="72"/>
      <c r="D176" s="72"/>
      <c r="E176" s="74">
        <v>0</v>
      </c>
      <c r="F176" s="74">
        <v>0</v>
      </c>
      <c r="G176" s="74">
        <v>0</v>
      </c>
      <c r="H176" s="74">
        <v>0</v>
      </c>
      <c r="I176" s="74">
        <v>0</v>
      </c>
      <c r="J176" s="72"/>
      <c r="K176" s="72"/>
      <c r="L176" s="72" t="str">
        <f>J176&amp;K176</f>
        <v/>
      </c>
      <c r="M176" s="72"/>
    </row>
    <row r="177" spans="1:13" x14ac:dyDescent="0.25">
      <c r="A177" s="72"/>
      <c r="B177" s="73"/>
      <c r="C177" s="72"/>
      <c r="D177" s="72"/>
      <c r="E177" s="74">
        <v>0</v>
      </c>
      <c r="F177" s="74">
        <v>0</v>
      </c>
      <c r="G177" s="74">
        <v>0</v>
      </c>
      <c r="H177" s="74">
        <v>0</v>
      </c>
      <c r="I177" s="74">
        <v>0</v>
      </c>
      <c r="J177" s="72"/>
      <c r="K177" s="72"/>
      <c r="L177" s="72" t="str">
        <f>J177&amp;K177</f>
        <v/>
      </c>
      <c r="M177" s="72"/>
    </row>
    <row r="178" spans="1:13" x14ac:dyDescent="0.25">
      <c r="A178" s="72"/>
      <c r="B178" s="73"/>
      <c r="C178" s="72"/>
      <c r="D178" s="72"/>
      <c r="E178" s="74">
        <v>0</v>
      </c>
      <c r="F178" s="74">
        <v>0</v>
      </c>
      <c r="G178" s="74">
        <v>0</v>
      </c>
      <c r="H178" s="74">
        <v>0</v>
      </c>
      <c r="I178" s="74">
        <v>0</v>
      </c>
      <c r="J178" s="72"/>
      <c r="K178" s="72"/>
      <c r="L178" s="72" t="str">
        <f>J178&amp;K178</f>
        <v/>
      </c>
      <c r="M178" s="72"/>
    </row>
    <row r="179" spans="1:13" x14ac:dyDescent="0.25">
      <c r="A179" s="72"/>
      <c r="B179" s="73"/>
      <c r="C179" s="72"/>
      <c r="D179" s="72"/>
      <c r="E179" s="74">
        <v>0</v>
      </c>
      <c r="F179" s="74">
        <v>0</v>
      </c>
      <c r="G179" s="74">
        <v>0</v>
      </c>
      <c r="H179" s="74">
        <v>0</v>
      </c>
      <c r="I179" s="74">
        <v>0</v>
      </c>
      <c r="J179" s="72"/>
      <c r="K179" s="72"/>
      <c r="L179" s="72" t="str">
        <f>J179&amp;K179</f>
        <v/>
      </c>
      <c r="M179" s="72"/>
    </row>
    <row r="180" spans="1:13" x14ac:dyDescent="0.25">
      <c r="A180" s="72"/>
      <c r="B180" s="73"/>
      <c r="C180" s="72"/>
      <c r="D180" s="72"/>
      <c r="E180" s="74">
        <v>0</v>
      </c>
      <c r="F180" s="74">
        <v>0</v>
      </c>
      <c r="G180" s="74">
        <v>0</v>
      </c>
      <c r="H180" s="74">
        <v>0</v>
      </c>
      <c r="I180" s="74">
        <v>0</v>
      </c>
      <c r="J180" s="72"/>
      <c r="K180" s="72"/>
      <c r="L180" s="72" t="str">
        <f>J180&amp;K180</f>
        <v/>
      </c>
      <c r="M180" s="72"/>
    </row>
    <row r="181" spans="1:13" x14ac:dyDescent="0.25">
      <c r="A181" s="72"/>
      <c r="B181" s="73"/>
      <c r="C181" s="72"/>
      <c r="D181" s="72"/>
      <c r="E181" s="74">
        <v>0</v>
      </c>
      <c r="F181" s="74">
        <v>0</v>
      </c>
      <c r="G181" s="74">
        <v>0</v>
      </c>
      <c r="H181" s="74">
        <v>0</v>
      </c>
      <c r="I181" s="74">
        <v>0</v>
      </c>
      <c r="J181" s="72"/>
      <c r="K181" s="72"/>
      <c r="L181" s="72" t="str">
        <f>J181&amp;K181</f>
        <v/>
      </c>
      <c r="M181" s="72"/>
    </row>
    <row r="182" spans="1:13" x14ac:dyDescent="0.25">
      <c r="A182" s="72"/>
      <c r="B182" s="73"/>
      <c r="C182" s="72"/>
      <c r="D182" s="72"/>
      <c r="E182" s="74">
        <v>0</v>
      </c>
      <c r="F182" s="74">
        <v>0</v>
      </c>
      <c r="G182" s="74">
        <v>0</v>
      </c>
      <c r="H182" s="74">
        <v>0</v>
      </c>
      <c r="I182" s="74">
        <v>0</v>
      </c>
      <c r="J182" s="72"/>
      <c r="K182" s="72"/>
      <c r="L182" s="72" t="str">
        <f>J182&amp;K182</f>
        <v/>
      </c>
      <c r="M182" s="72"/>
    </row>
    <row r="183" spans="1:13" x14ac:dyDescent="0.25">
      <c r="A183" s="72"/>
      <c r="B183" s="73"/>
      <c r="C183" s="72"/>
      <c r="D183" s="72"/>
      <c r="E183" s="74">
        <v>0</v>
      </c>
      <c r="F183" s="74">
        <v>0</v>
      </c>
      <c r="G183" s="74">
        <v>0</v>
      </c>
      <c r="H183" s="74">
        <v>0</v>
      </c>
      <c r="I183" s="74">
        <v>0</v>
      </c>
      <c r="J183" s="72"/>
      <c r="K183" s="72"/>
      <c r="L183" s="72" t="str">
        <f>J183&amp;K183</f>
        <v/>
      </c>
      <c r="M183" s="72"/>
    </row>
    <row r="184" spans="1:13" x14ac:dyDescent="0.25">
      <c r="A184" s="72"/>
      <c r="B184" s="73"/>
      <c r="C184" s="72"/>
      <c r="D184" s="72"/>
      <c r="E184" s="74">
        <v>0</v>
      </c>
      <c r="F184" s="74">
        <v>0</v>
      </c>
      <c r="G184" s="74">
        <v>0</v>
      </c>
      <c r="H184" s="74">
        <v>0</v>
      </c>
      <c r="I184" s="74">
        <v>0</v>
      </c>
      <c r="J184" s="72"/>
      <c r="K184" s="72"/>
      <c r="L184" s="72" t="str">
        <f>J184&amp;K184</f>
        <v/>
      </c>
      <c r="M184" s="72"/>
    </row>
    <row r="185" spans="1:13" x14ac:dyDescent="0.25">
      <c r="A185" s="72"/>
      <c r="B185" s="73"/>
      <c r="C185" s="72"/>
      <c r="D185" s="72"/>
      <c r="E185" s="74">
        <v>0</v>
      </c>
      <c r="F185" s="74">
        <v>0</v>
      </c>
      <c r="G185" s="74">
        <v>0</v>
      </c>
      <c r="H185" s="74">
        <v>0</v>
      </c>
      <c r="I185" s="74">
        <v>0</v>
      </c>
      <c r="J185" s="72"/>
      <c r="K185" s="72"/>
      <c r="L185" s="72" t="str">
        <f>J185&amp;K185</f>
        <v/>
      </c>
      <c r="M185" s="72"/>
    </row>
    <row r="186" spans="1:13" x14ac:dyDescent="0.25">
      <c r="A186" s="72"/>
      <c r="B186" s="73"/>
      <c r="C186" s="72"/>
      <c r="D186" s="72"/>
      <c r="E186" s="74">
        <v>0</v>
      </c>
      <c r="F186" s="74">
        <v>0</v>
      </c>
      <c r="G186" s="74">
        <v>0</v>
      </c>
      <c r="H186" s="74">
        <v>0</v>
      </c>
      <c r="I186" s="74">
        <v>0</v>
      </c>
      <c r="J186" s="72"/>
      <c r="K186" s="72"/>
      <c r="L186" s="72" t="str">
        <f>J186&amp;K186</f>
        <v/>
      </c>
      <c r="M186" s="72"/>
    </row>
    <row r="187" spans="1:13" x14ac:dyDescent="0.25">
      <c r="A187" s="72"/>
      <c r="B187" s="73"/>
      <c r="C187" s="72"/>
      <c r="D187" s="72"/>
      <c r="E187" s="74">
        <v>0</v>
      </c>
      <c r="F187" s="74">
        <v>0</v>
      </c>
      <c r="G187" s="74">
        <v>0</v>
      </c>
      <c r="H187" s="74">
        <v>0</v>
      </c>
      <c r="I187" s="74">
        <v>0</v>
      </c>
      <c r="J187" s="72"/>
      <c r="K187" s="72"/>
      <c r="L187" s="72" t="str">
        <f>J187&amp;K187</f>
        <v/>
      </c>
      <c r="M187" s="72"/>
    </row>
    <row r="188" spans="1:13" x14ac:dyDescent="0.25">
      <c r="A188" s="72"/>
      <c r="B188" s="73"/>
      <c r="C188" s="72"/>
      <c r="D188" s="72"/>
      <c r="E188" s="74">
        <v>0</v>
      </c>
      <c r="F188" s="74">
        <v>0</v>
      </c>
      <c r="G188" s="74">
        <v>0</v>
      </c>
      <c r="H188" s="74">
        <v>0</v>
      </c>
      <c r="I188" s="74">
        <v>0</v>
      </c>
      <c r="J188" s="72"/>
      <c r="K188" s="72"/>
      <c r="L188" s="72" t="str">
        <f>J188&amp;K188</f>
        <v/>
      </c>
      <c r="M188" s="72"/>
    </row>
    <row r="189" spans="1:13" x14ac:dyDescent="0.25">
      <c r="A189" s="72"/>
      <c r="B189" s="73"/>
      <c r="C189" s="72"/>
      <c r="D189" s="72"/>
      <c r="E189" s="74">
        <v>0</v>
      </c>
      <c r="F189" s="74">
        <v>0</v>
      </c>
      <c r="G189" s="74">
        <v>0</v>
      </c>
      <c r="H189" s="74">
        <v>0</v>
      </c>
      <c r="I189" s="74">
        <v>0</v>
      </c>
      <c r="J189" s="72"/>
      <c r="K189" s="72"/>
      <c r="L189" s="72" t="str">
        <f>J189&amp;K189</f>
        <v/>
      </c>
      <c r="M189" s="72"/>
    </row>
    <row r="190" spans="1:13" x14ac:dyDescent="0.25">
      <c r="A190" s="72"/>
      <c r="B190" s="73"/>
      <c r="C190" s="72"/>
      <c r="D190" s="72"/>
      <c r="E190" s="74">
        <v>0</v>
      </c>
      <c r="F190" s="74">
        <v>0</v>
      </c>
      <c r="G190" s="74">
        <v>0</v>
      </c>
      <c r="H190" s="74">
        <v>0</v>
      </c>
      <c r="I190" s="74">
        <v>0</v>
      </c>
      <c r="J190" s="72"/>
      <c r="K190" s="72"/>
      <c r="L190" s="72" t="str">
        <f>J190&amp;K190</f>
        <v/>
      </c>
      <c r="M190" s="72"/>
    </row>
    <row r="191" spans="1:13" x14ac:dyDescent="0.25">
      <c r="A191" s="72"/>
      <c r="B191" s="73"/>
      <c r="C191" s="72"/>
      <c r="D191" s="72"/>
      <c r="E191" s="74">
        <v>0</v>
      </c>
      <c r="F191" s="74">
        <v>0</v>
      </c>
      <c r="G191" s="74">
        <v>0</v>
      </c>
      <c r="H191" s="74">
        <v>0</v>
      </c>
      <c r="I191" s="74">
        <v>0</v>
      </c>
      <c r="J191" s="72"/>
      <c r="K191" s="72"/>
      <c r="L191" s="72" t="str">
        <f>J191&amp;K191</f>
        <v/>
      </c>
      <c r="M191" s="72"/>
    </row>
    <row r="192" spans="1:13" x14ac:dyDescent="0.25">
      <c r="A192" s="72"/>
      <c r="B192" s="73"/>
      <c r="C192" s="72"/>
      <c r="D192" s="72"/>
      <c r="E192" s="74">
        <v>0</v>
      </c>
      <c r="F192" s="74">
        <v>0</v>
      </c>
      <c r="G192" s="74">
        <v>0</v>
      </c>
      <c r="H192" s="74">
        <v>0</v>
      </c>
      <c r="I192" s="74">
        <v>0</v>
      </c>
      <c r="J192" s="72"/>
      <c r="K192" s="72"/>
      <c r="L192" s="72" t="str">
        <f>J192&amp;K192</f>
        <v/>
      </c>
      <c r="M192" s="72"/>
    </row>
    <row r="193" spans="1:13" x14ac:dyDescent="0.25">
      <c r="A193" s="72"/>
      <c r="B193" s="73"/>
      <c r="C193" s="72"/>
      <c r="D193" s="72"/>
      <c r="E193" s="74">
        <v>0</v>
      </c>
      <c r="F193" s="74">
        <v>0</v>
      </c>
      <c r="G193" s="74">
        <v>0</v>
      </c>
      <c r="H193" s="74">
        <v>0</v>
      </c>
      <c r="I193" s="74">
        <v>0</v>
      </c>
      <c r="J193" s="72"/>
      <c r="K193" s="72"/>
      <c r="L193" s="72" t="str">
        <f>J193&amp;K193</f>
        <v/>
      </c>
      <c r="M193" s="72"/>
    </row>
    <row r="194" spans="1:13" x14ac:dyDescent="0.25">
      <c r="A194" s="72"/>
      <c r="B194" s="73"/>
      <c r="C194" s="72"/>
      <c r="D194" s="72"/>
      <c r="E194" s="74">
        <v>0</v>
      </c>
      <c r="F194" s="74">
        <v>0</v>
      </c>
      <c r="G194" s="74">
        <v>0</v>
      </c>
      <c r="H194" s="74">
        <v>0</v>
      </c>
      <c r="I194" s="74">
        <v>0</v>
      </c>
      <c r="J194" s="72"/>
      <c r="K194" s="72"/>
      <c r="L194" s="72" t="str">
        <f>J194&amp;K194</f>
        <v/>
      </c>
      <c r="M194" s="72"/>
    </row>
    <row r="195" spans="1:13" x14ac:dyDescent="0.25">
      <c r="A195" s="72"/>
      <c r="B195" s="73"/>
      <c r="C195" s="72"/>
      <c r="D195" s="72"/>
      <c r="E195" s="74">
        <v>0</v>
      </c>
      <c r="F195" s="74">
        <v>0</v>
      </c>
      <c r="G195" s="74">
        <v>0</v>
      </c>
      <c r="H195" s="74">
        <v>0</v>
      </c>
      <c r="I195" s="74">
        <v>0</v>
      </c>
      <c r="J195" s="72"/>
      <c r="K195" s="72"/>
      <c r="L195" s="72" t="str">
        <f>J195&amp;K195</f>
        <v/>
      </c>
      <c r="M195" s="72"/>
    </row>
    <row r="196" spans="1:13" x14ac:dyDescent="0.25">
      <c r="A196" s="72"/>
      <c r="B196" s="73"/>
      <c r="C196" s="72"/>
      <c r="D196" s="72"/>
      <c r="E196" s="74">
        <v>0</v>
      </c>
      <c r="F196" s="74">
        <v>0</v>
      </c>
      <c r="G196" s="74">
        <v>0</v>
      </c>
      <c r="H196" s="74">
        <v>0</v>
      </c>
      <c r="I196" s="74">
        <v>0</v>
      </c>
      <c r="J196" s="72"/>
      <c r="K196" s="72"/>
      <c r="L196" s="72" t="str">
        <f>J196&amp;K196</f>
        <v/>
      </c>
      <c r="M196" s="72"/>
    </row>
    <row r="197" spans="1:13" x14ac:dyDescent="0.25">
      <c r="A197" s="72"/>
      <c r="B197" s="73"/>
      <c r="C197" s="72"/>
      <c r="D197" s="72"/>
      <c r="E197" s="74">
        <v>0</v>
      </c>
      <c r="F197" s="74">
        <v>0</v>
      </c>
      <c r="G197" s="74">
        <v>0</v>
      </c>
      <c r="H197" s="74">
        <v>0</v>
      </c>
      <c r="I197" s="74">
        <v>0</v>
      </c>
      <c r="J197" s="72"/>
      <c r="K197" s="72"/>
      <c r="L197" s="72" t="str">
        <f>J197&amp;K197</f>
        <v/>
      </c>
      <c r="M197" s="72"/>
    </row>
    <row r="198" spans="1:13" x14ac:dyDescent="0.25">
      <c r="A198" s="72"/>
      <c r="B198" s="73"/>
      <c r="C198" s="72"/>
      <c r="D198" s="72"/>
      <c r="E198" s="74">
        <v>0</v>
      </c>
      <c r="F198" s="74">
        <v>0</v>
      </c>
      <c r="G198" s="74">
        <v>0</v>
      </c>
      <c r="H198" s="74">
        <v>0</v>
      </c>
      <c r="I198" s="74">
        <v>0</v>
      </c>
      <c r="J198" s="72"/>
      <c r="K198" s="72"/>
      <c r="L198" s="72" t="str">
        <f>J198&amp;K198</f>
        <v/>
      </c>
      <c r="M198" s="72"/>
    </row>
    <row r="199" spans="1:13" x14ac:dyDescent="0.25">
      <c r="A199" s="72"/>
      <c r="B199" s="73"/>
      <c r="C199" s="72"/>
      <c r="D199" s="72"/>
      <c r="E199" s="74">
        <v>0</v>
      </c>
      <c r="F199" s="74">
        <v>0</v>
      </c>
      <c r="G199" s="74">
        <v>0</v>
      </c>
      <c r="H199" s="74">
        <v>0</v>
      </c>
      <c r="I199" s="74">
        <v>0</v>
      </c>
      <c r="J199" s="72"/>
      <c r="K199" s="72"/>
      <c r="L199" s="72" t="str">
        <f>J199&amp;K199</f>
        <v/>
      </c>
      <c r="M199" s="72"/>
    </row>
    <row r="200" spans="1:13" x14ac:dyDescent="0.25">
      <c r="A200" s="72"/>
      <c r="B200" s="73"/>
      <c r="C200" s="72"/>
      <c r="D200" s="72"/>
      <c r="E200" s="74">
        <v>0</v>
      </c>
      <c r="F200" s="74">
        <v>0</v>
      </c>
      <c r="G200" s="74">
        <v>0</v>
      </c>
      <c r="H200" s="74">
        <v>0</v>
      </c>
      <c r="I200" s="74">
        <v>0</v>
      </c>
      <c r="J200" s="72"/>
      <c r="K200" s="72"/>
      <c r="L200" s="72" t="str">
        <f>J200&amp;K200</f>
        <v/>
      </c>
      <c r="M200" s="72"/>
    </row>
    <row r="201" spans="1:13" x14ac:dyDescent="0.25">
      <c r="A201" s="72"/>
      <c r="B201" s="73"/>
      <c r="C201" s="72"/>
      <c r="D201" s="72"/>
      <c r="E201" s="74">
        <v>0</v>
      </c>
      <c r="F201" s="74">
        <v>0</v>
      </c>
      <c r="G201" s="74">
        <v>0</v>
      </c>
      <c r="H201" s="74">
        <v>0</v>
      </c>
      <c r="I201" s="74">
        <v>0</v>
      </c>
      <c r="J201" s="72"/>
      <c r="K201" s="72"/>
      <c r="L201" s="72" t="str">
        <f>J201&amp;K201</f>
        <v/>
      </c>
      <c r="M201" s="72"/>
    </row>
  </sheetData>
  <sortState xmlns:xlrd2="http://schemas.microsoft.com/office/spreadsheetml/2017/richdata2" ref="A2:N201">
    <sortCondition ref="J2:J201"/>
    <sortCondition ref="K2:K201"/>
    <sortCondition descending="1" ref="B2:B201"/>
    <sortCondition descending="1" ref="M2:M201"/>
  </sortState>
  <phoneticPr fontId="3" type="noConversion"/>
  <conditionalFormatting sqref="L2:L201">
    <cfRule type="duplicateValues" dxfId="39" priority="24"/>
    <cfRule type="duplicateValues" dxfId="38" priority="25"/>
    <cfRule type="duplicateValues" dxfId="37" priority="26"/>
    <cfRule type="duplicateValues" dxfId="36" priority="27"/>
    <cfRule type="duplicateValues" dxfId="35" priority="28"/>
    <cfRule type="duplicateValues" dxfId="34" priority="29"/>
    <cfRule type="duplicateValues" dxfId="33" priority="30"/>
    <cfRule type="duplicateValues" dxfId="32" priority="31"/>
    <cfRule type="duplicateValues" dxfId="31" priority="32"/>
    <cfRule type="duplicateValues" dxfId="30" priority="33"/>
    <cfRule type="duplicateValues" dxfId="29" priority="34"/>
    <cfRule type="duplicateValues" dxfId="28" priority="35"/>
    <cfRule type="duplicateValues" dxfId="27" priority="36"/>
    <cfRule type="duplicateValues" dxfId="26" priority="37"/>
    <cfRule type="duplicateValues" dxfId="25" priority="38"/>
    <cfRule type="duplicateValues" dxfId="24" priority="39"/>
    <cfRule type="duplicateValues" dxfId="23" priority="40"/>
    <cfRule type="duplicateValues" dxfId="22" priority="23"/>
    <cfRule type="duplicateValues" dxfId="21" priority="22"/>
    <cfRule type="duplicateValues" dxfId="20" priority="21"/>
    <cfRule type="duplicateValues" dxfId="19" priority="20"/>
    <cfRule type="duplicateValues" dxfId="18" priority="19"/>
    <cfRule type="duplicateValues" dxfId="17" priority="18"/>
    <cfRule type="duplicateValues" dxfId="16" priority="17"/>
    <cfRule type="duplicateValues" dxfId="15" priority="16"/>
    <cfRule type="duplicateValues" dxfId="14" priority="15"/>
    <cfRule type="duplicateValues" dxfId="13" priority="14"/>
    <cfRule type="duplicateValues" dxfId="12" priority="13"/>
    <cfRule type="duplicateValues" dxfId="11" priority="12"/>
    <cfRule type="duplicateValues" dxfId="10" priority="11"/>
    <cfRule type="duplicateValues" dxfId="9" priority="10"/>
    <cfRule type="duplicateValues" dxfId="8" priority="9"/>
    <cfRule type="duplicateValues" dxfId="7" priority="8"/>
    <cfRule type="duplicateValues" dxfId="6" priority="7"/>
    <cfRule type="duplicateValues" dxfId="5" priority="6"/>
    <cfRule type="duplicateValues" dxfId="4" priority="5"/>
    <cfRule type="duplicateValues" dxfId="3" priority="4"/>
    <cfRule type="duplicateValues" dxfId="2" priority="3"/>
    <cfRule type="duplicateValues" dxfId="1" priority="2"/>
    <cfRule type="duplicateValues" dxfId="0" priority="1"/>
  </conditionalFormatting>
  <dataValidations count="1">
    <dataValidation type="custom" errorStyle="warning" allowBlank="1" showInputMessage="1" showErrorMessage="1" error="This Cell is Locked and Protected for Read-Only Mode_x000a_" sqref="A1:XFD1048576" xr:uid="{4EA5EF0C-63BE-472D-85A6-BA2F2BA0BF11}">
      <formula1>""""""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449E4-ED11-49E0-B348-0DBDE1F75FB2}">
  <sheetPr codeName="Sheet4">
    <tabColor rgb="FFFF0000"/>
    <pageSetUpPr fitToPage="1"/>
  </sheetPr>
  <dimension ref="B1:AA58"/>
  <sheetViews>
    <sheetView tabSelected="1" zoomScaleNormal="100" workbookViewId="0">
      <selection activeCell="N6" sqref="N6"/>
    </sheetView>
  </sheetViews>
  <sheetFormatPr defaultColWidth="9.140625" defaultRowHeight="15" x14ac:dyDescent="0.25"/>
  <cols>
    <col min="1" max="1" width="9.140625" style="2"/>
    <col min="2" max="7" width="7.28515625" style="2" customWidth="1"/>
    <col min="8" max="8" width="9.5703125" style="2" customWidth="1"/>
    <col min="9" max="9" width="7.28515625" style="2" customWidth="1"/>
    <col min="10" max="10" width="8.42578125" style="2" bestFit="1" customWidth="1"/>
    <col min="11" max="13" width="7.28515625" style="2" customWidth="1"/>
    <col min="14" max="14" width="8.140625" style="2" customWidth="1"/>
    <col min="15" max="15" width="10.140625" style="2" customWidth="1"/>
    <col min="16" max="16" width="3" style="2" customWidth="1"/>
    <col min="17" max="16384" width="9.140625" style="2"/>
  </cols>
  <sheetData>
    <row r="1" spans="2:27" x14ac:dyDescent="0.25">
      <c r="B1" s="99"/>
      <c r="C1" s="100"/>
      <c r="D1" s="100"/>
      <c r="E1" s="100" t="s">
        <v>35</v>
      </c>
      <c r="F1" s="100"/>
      <c r="G1" s="100"/>
      <c r="H1" s="101"/>
      <c r="I1" s="99"/>
      <c r="J1" s="100" t="s">
        <v>39</v>
      </c>
      <c r="K1" s="100"/>
      <c r="L1" s="100"/>
      <c r="M1" s="100"/>
      <c r="N1" s="100"/>
      <c r="O1" s="101"/>
      <c r="Q1" s="17"/>
      <c r="R1" s="17"/>
    </row>
    <row r="2" spans="2:27" x14ac:dyDescent="0.25">
      <c r="B2" s="88"/>
      <c r="C2" s="89" t="s">
        <v>43</v>
      </c>
      <c r="D2" s="92"/>
      <c r="E2" s="86" t="s">
        <v>44</v>
      </c>
      <c r="F2" s="91"/>
      <c r="G2" s="91"/>
      <c r="H2" s="91"/>
      <c r="I2" s="92"/>
      <c r="J2" s="92"/>
      <c r="K2" s="92"/>
      <c r="L2" s="88"/>
      <c r="M2" s="89" t="s">
        <v>41</v>
      </c>
      <c r="N2" s="86" t="s">
        <v>46</v>
      </c>
      <c r="O2" s="84"/>
      <c r="Q2" s="17"/>
      <c r="R2" s="17"/>
    </row>
    <row r="3" spans="2:27" x14ac:dyDescent="0.25">
      <c r="B3" s="90"/>
      <c r="C3" s="87" t="s">
        <v>36</v>
      </c>
      <c r="D3" s="84"/>
      <c r="E3" s="91" t="s">
        <v>37</v>
      </c>
      <c r="F3" s="86" t="s">
        <v>38</v>
      </c>
      <c r="G3" s="91" t="s">
        <v>45</v>
      </c>
      <c r="H3" s="91"/>
      <c r="I3" s="109" t="s">
        <v>40</v>
      </c>
      <c r="J3" s="125" t="s">
        <v>47</v>
      </c>
      <c r="K3" s="125"/>
      <c r="L3" s="86"/>
      <c r="M3" s="93" t="s">
        <v>42</v>
      </c>
      <c r="N3" s="126">
        <v>44461</v>
      </c>
      <c r="O3" s="127"/>
      <c r="Q3" s="17"/>
      <c r="R3" s="17"/>
    </row>
    <row r="4" spans="2:27" ht="15.75" thickBot="1" x14ac:dyDescent="0.3">
      <c r="B4" s="85"/>
      <c r="C4" s="85"/>
      <c r="K4" s="94"/>
      <c r="M4" s="85"/>
      <c r="Q4" s="17"/>
      <c r="R4" s="17"/>
    </row>
    <row r="5" spans="2:27" ht="19.5" customHeight="1" x14ac:dyDescent="0.3">
      <c r="B5" s="134" t="s">
        <v>8</v>
      </c>
      <c r="C5" s="135"/>
      <c r="D5" s="135"/>
      <c r="E5" s="135"/>
      <c r="F5" s="146" t="str">
        <f>IF('Raw Data'!A1="","Please Copy Data",IF('Transformed Data'!A1="","Please Run Report",LEFT(Folder,13)))</f>
        <v>L08-004637-01</v>
      </c>
      <c r="G5" s="146"/>
      <c r="H5" s="146"/>
      <c r="I5" s="40"/>
      <c r="J5" s="110" t="s">
        <v>27</v>
      </c>
      <c r="K5" s="111"/>
      <c r="L5" s="41">
        <f ca="1">(COUNTIF(H10:H49,"PASS")+COUNTIF(O10:O49,"PASS"))</f>
        <v>17</v>
      </c>
      <c r="M5" s="40"/>
      <c r="N5" s="42" t="s">
        <v>30</v>
      </c>
      <c r="O5" s="43">
        <f>IFERROR(INDEX(Setting!$D$3:$D$5,MATCH(Report!$F$7,Setting!$B$3:$B$5,0)),"")</f>
        <v>4.4999999999999998E-2</v>
      </c>
      <c r="Q5" s="30"/>
      <c r="R5" s="31"/>
      <c r="S5" s="31"/>
      <c r="T5" s="31"/>
      <c r="U5" s="31"/>
      <c r="V5" s="31"/>
      <c r="W5" s="32"/>
      <c r="Y5" s="18"/>
      <c r="Z5" s="19"/>
      <c r="AA5" s="26"/>
    </row>
    <row r="6" spans="2:27" ht="15.75" customHeight="1" x14ac:dyDescent="0.25">
      <c r="B6" s="136" t="s">
        <v>6</v>
      </c>
      <c r="C6" s="137"/>
      <c r="D6" s="137"/>
      <c r="E6" s="137"/>
      <c r="F6" s="147" t="str">
        <f>IF('Raw Data'!A2="","",('Raw Data'!A2))</f>
        <v>3/8/2023</v>
      </c>
      <c r="G6" s="147"/>
      <c r="H6" s="147"/>
      <c r="I6" s="44"/>
      <c r="J6" s="123" t="s">
        <v>28</v>
      </c>
      <c r="K6" s="124"/>
      <c r="L6" s="45">
        <f ca="1">(COUNTIF(H10:H49,"FAIL")+COUNTIF(O10:O49,"FAIL"))</f>
        <v>0</v>
      </c>
      <c r="M6" s="44"/>
      <c r="N6" s="46" t="s">
        <v>31</v>
      </c>
      <c r="O6" s="47">
        <f>IFERROR(INDEX(Setting!$C$3:$C$5,MATCH(Report!$F$7,Setting!$B$3:$B$5,0)),"")</f>
        <v>5.5E-2</v>
      </c>
      <c r="Q6" s="33"/>
      <c r="R6" s="34"/>
      <c r="S6" s="34"/>
      <c r="T6" s="34"/>
      <c r="U6" s="34"/>
      <c r="V6" s="34"/>
      <c r="W6" s="35"/>
      <c r="Y6" s="20"/>
      <c r="Z6" s="21"/>
      <c r="AA6" s="3"/>
    </row>
    <row r="7" spans="2:27" ht="15.75" customHeight="1" thickBot="1" x14ac:dyDescent="0.3">
      <c r="B7" s="138" t="s">
        <v>9</v>
      </c>
      <c r="C7" s="139"/>
      <c r="D7" s="139"/>
      <c r="E7" s="139"/>
      <c r="F7" s="148" t="str" cm="1">
        <f t="array" ref="F7">IF(LEFT(F5,3)="L02","Posterior (15630-2xxx)",IFERROR(IF(AB_Value="A", "Anterior (14716-xxx)","Posterior (15630-3xxx)"),""))</f>
        <v>Anterior (14716-xxx)</v>
      </c>
      <c r="G7" s="148"/>
      <c r="H7" s="148"/>
      <c r="I7" s="95"/>
      <c r="J7" s="121" t="s">
        <v>26</v>
      </c>
      <c r="K7" s="122"/>
      <c r="L7" s="96">
        <f ca="1">IFERROR(L5/(L5+L6),"")</f>
        <v>1</v>
      </c>
      <c r="M7" s="95"/>
      <c r="N7" s="97" t="s">
        <v>5</v>
      </c>
      <c r="O7" s="98" t="str">
        <f>RIGHT('Raw Data'!C2,4)</f>
        <v>195D</v>
      </c>
      <c r="Q7" s="33"/>
      <c r="R7" s="34"/>
      <c r="S7" s="34"/>
      <c r="T7" s="34"/>
      <c r="U7" s="34"/>
      <c r="V7" s="34"/>
      <c r="W7" s="35"/>
      <c r="Y7" s="22"/>
      <c r="Z7" s="23"/>
      <c r="AA7" s="3"/>
    </row>
    <row r="8" spans="2:27" ht="15.75" customHeight="1" thickBot="1" x14ac:dyDescent="0.3">
      <c r="B8" s="48"/>
      <c r="C8" s="49"/>
      <c r="D8" s="49"/>
      <c r="E8" s="49"/>
      <c r="F8" s="49"/>
      <c r="G8" s="49"/>
      <c r="H8" s="50"/>
      <c r="I8" s="50"/>
      <c r="J8" s="49"/>
      <c r="K8" s="49"/>
      <c r="L8" s="51"/>
      <c r="M8" s="49"/>
      <c r="N8" s="49"/>
      <c r="O8" s="52"/>
      <c r="Q8" s="33"/>
      <c r="R8" s="34"/>
      <c r="S8" s="34"/>
      <c r="T8" s="34"/>
      <c r="U8" s="34"/>
      <c r="V8" s="34"/>
      <c r="W8" s="35"/>
      <c r="Y8" s="20"/>
      <c r="Z8" s="21"/>
      <c r="AA8" s="3"/>
    </row>
    <row r="9" spans="2:27" ht="23.25" customHeight="1" thickBot="1" x14ac:dyDescent="0.3">
      <c r="B9" s="53" t="s">
        <v>29</v>
      </c>
      <c r="C9" s="54" t="s">
        <v>0</v>
      </c>
      <c r="D9" s="54" t="s">
        <v>1</v>
      </c>
      <c r="E9" s="54" t="s">
        <v>2</v>
      </c>
      <c r="F9" s="54" t="s">
        <v>3</v>
      </c>
      <c r="G9" s="54" t="s">
        <v>4</v>
      </c>
      <c r="H9" s="55" t="s">
        <v>10</v>
      </c>
      <c r="I9" s="56" t="s">
        <v>29</v>
      </c>
      <c r="J9" s="57" t="s">
        <v>0</v>
      </c>
      <c r="K9" s="57" t="s">
        <v>1</v>
      </c>
      <c r="L9" s="57" t="s">
        <v>2</v>
      </c>
      <c r="M9" s="57" t="s">
        <v>3</v>
      </c>
      <c r="N9" s="57" t="s">
        <v>4</v>
      </c>
      <c r="O9" s="58" t="s">
        <v>10</v>
      </c>
      <c r="Q9" s="33"/>
      <c r="R9" s="34"/>
      <c r="S9" s="34"/>
      <c r="T9" s="34"/>
      <c r="U9" s="34"/>
      <c r="V9" s="34"/>
      <c r="W9" s="35"/>
      <c r="Y9" s="20"/>
      <c r="Z9" s="21"/>
      <c r="AA9" s="3"/>
    </row>
    <row r="10" spans="2:27" ht="16.5" thickTop="1" thickBot="1" x14ac:dyDescent="0.3">
      <c r="B10" s="59">
        <v>1</v>
      </c>
      <c r="C10" s="60">
        <f ca="1">IFERROR(INDEX(INDIRECT("_"&amp;C$9),MATCH($B10&amp;PASSFAIL!C$85,UID,0)),"")</f>
        <v>5.2999999999999999E-2</v>
      </c>
      <c r="D10" s="60">
        <f ca="1">IFERROR(INDEX(INDIRECT("_"&amp;D$9),MATCH($B10&amp;PASSFAIL!D$85,UID,0)),"")</f>
        <v>5.1999999999999998E-2</v>
      </c>
      <c r="E10" s="60">
        <f ca="1">IFERROR(INDEX(INDIRECT("_"&amp;E$9),MATCH($B10&amp;PASSFAIL!E$85,UID,0)),"")</f>
        <v>5.0999999999999997E-2</v>
      </c>
      <c r="F10" s="60">
        <f ca="1">IFERROR(INDEX(INDIRECT("_"&amp;F$9),MATCH($B10&amp;PASSFAIL!F$85,UID,0)),"")</f>
        <v>5.1999999999999998E-2</v>
      </c>
      <c r="G10" s="60">
        <f ca="1">IFERROR(INDEX(INDIRECT("_"&amp;G$9),MATCH($B10&amp;PASSFAIL!G$85,UID,0)),"")</f>
        <v>5.2999999999999999E-2</v>
      </c>
      <c r="H10" s="61" t="str">
        <f ca="1">IF(PASSFAIL!H7="","",IF(PASSFAIL!H7=5,"PASS","FAIL"))</f>
        <v>PASS</v>
      </c>
      <c r="I10" s="59">
        <v>41</v>
      </c>
      <c r="J10" s="60" t="str">
        <f ca="1">IFERROR(INDEX(INDIRECT("_"&amp;J$9),MATCH($I10&amp;PASSFAIL!C$85,UID,0)),"")</f>
        <v/>
      </c>
      <c r="K10" s="60" t="str">
        <f ca="1">IFERROR(INDEX(INDIRECT("_"&amp;K$9),MATCH($I10&amp;PASSFAIL!D$85,UID,0)),"")</f>
        <v/>
      </c>
      <c r="L10" s="60" t="str">
        <f ca="1">IFERROR(INDEX(INDIRECT("_"&amp;L$9),MATCH($I10&amp;PASSFAIL!E$85,UID,0)),"")</f>
        <v/>
      </c>
      <c r="M10" s="60" t="str">
        <f ca="1">IFERROR(INDEX(INDIRECT("_"&amp;M$9),MATCH($I10&amp;PASSFAIL!F$85,UID,0)),"")</f>
        <v/>
      </c>
      <c r="N10" s="60" t="str">
        <f ca="1">IFERROR(INDEX(INDIRECT("_"&amp;N$9),MATCH($I10&amp;PASSFAIL!G$85,UID,0)),"")</f>
        <v/>
      </c>
      <c r="O10" s="62" t="str">
        <f ca="1">IF(PASSFAIL!H47="","",IF(PASSFAIL!H47=5,"PASS","FAIL"))</f>
        <v/>
      </c>
      <c r="Q10" s="33"/>
      <c r="R10" s="34"/>
      <c r="S10" s="34"/>
      <c r="T10" s="34"/>
      <c r="U10" s="34"/>
      <c r="V10" s="34"/>
      <c r="W10" s="35"/>
      <c r="Y10" s="22"/>
      <c r="Z10" s="23"/>
      <c r="AA10" s="3"/>
    </row>
    <row r="11" spans="2:27" x14ac:dyDescent="0.25">
      <c r="B11" s="63">
        <v>2</v>
      </c>
      <c r="C11" s="60">
        <f ca="1">IFERROR(INDEX(INDIRECT("_"&amp;C$9),MATCH($B11&amp;PASSFAIL!C$85,UID,0)),"")</f>
        <v>5.2999999999999999E-2</v>
      </c>
      <c r="D11" s="60">
        <f ca="1">IFERROR(INDEX(INDIRECT("_"&amp;D$9),MATCH($B11&amp;PASSFAIL!D$85,UID,0)),"")</f>
        <v>5.2999999999999999E-2</v>
      </c>
      <c r="E11" s="60">
        <f ca="1">IFERROR(INDEX(INDIRECT("_"&amp;E$9),MATCH($B11&amp;PASSFAIL!E$85,UID,0)),"")</f>
        <v>5.2999999999999999E-2</v>
      </c>
      <c r="F11" s="60">
        <f ca="1">IFERROR(INDEX(INDIRECT("_"&amp;F$9),MATCH($B11&amp;PASSFAIL!F$85,UID,0)),"")</f>
        <v>5.2999999999999999E-2</v>
      </c>
      <c r="G11" s="60">
        <f ca="1">IFERROR(INDEX(INDIRECT("_"&amp;G$9),MATCH($B11&amp;PASSFAIL!G$85,UID,0)),"")</f>
        <v>5.2999999999999999E-2</v>
      </c>
      <c r="H11" s="61" t="str">
        <f ca="1">IF(PASSFAIL!H8="","",IF(PASSFAIL!H8=5,"PASS","FAIL"))</f>
        <v>PASS</v>
      </c>
      <c r="I11" s="63">
        <v>42</v>
      </c>
      <c r="J11" s="60" t="str">
        <f ca="1">IFERROR(INDEX(INDIRECT("_"&amp;J$9),MATCH($I11&amp;PASSFAIL!C$85,UID,0)),"")</f>
        <v/>
      </c>
      <c r="K11" s="60" t="str">
        <f ca="1">IFERROR(INDEX(INDIRECT("_"&amp;K$9),MATCH($I11&amp;PASSFAIL!D$85,UID,0)),"")</f>
        <v/>
      </c>
      <c r="L11" s="60" t="str">
        <f ca="1">IFERROR(INDEX(INDIRECT("_"&amp;L$9),MATCH($I11&amp;PASSFAIL!E$85,UID,0)),"")</f>
        <v/>
      </c>
      <c r="M11" s="60" t="str">
        <f ca="1">IFERROR(INDEX(INDIRECT("_"&amp;M$9),MATCH($I11&amp;PASSFAIL!F$85,UID,0)),"")</f>
        <v/>
      </c>
      <c r="N11" s="60" t="str">
        <f ca="1">IFERROR(INDEX(INDIRECT("_"&amp;N$9),MATCH($I11&amp;PASSFAIL!G$85,UID,0)),"")</f>
        <v/>
      </c>
      <c r="O11" s="62" t="str">
        <f ca="1">IF(PASSFAIL!H48="","",IF(PASSFAIL!H48=5,"PASS","FAIL"))</f>
        <v/>
      </c>
      <c r="Q11" s="33"/>
      <c r="R11" s="34"/>
      <c r="S11" s="34"/>
      <c r="T11" s="34"/>
      <c r="U11" s="34"/>
      <c r="V11" s="34"/>
      <c r="W11" s="35"/>
      <c r="Y11" s="20"/>
      <c r="Z11" s="21"/>
      <c r="AA11" s="3"/>
    </row>
    <row r="12" spans="2:27" x14ac:dyDescent="0.25">
      <c r="B12" s="63">
        <v>3</v>
      </c>
      <c r="C12" s="60">
        <f ca="1">IFERROR(INDEX(INDIRECT("_"&amp;C$9),MATCH($B12&amp;PASSFAIL!C$85,UID,0)),"")</f>
        <v>5.2999999999999999E-2</v>
      </c>
      <c r="D12" s="60">
        <f ca="1">IFERROR(INDEX(INDIRECT("_"&amp;D$9),MATCH($B12&amp;PASSFAIL!D$85,UID,0)),"")</f>
        <v>5.2999999999999999E-2</v>
      </c>
      <c r="E12" s="60">
        <f ca="1">IFERROR(INDEX(INDIRECT("_"&amp;E$9),MATCH($B12&amp;PASSFAIL!E$85,UID,0)),"")</f>
        <v>5.1999999999999998E-2</v>
      </c>
      <c r="F12" s="60">
        <f ca="1">IFERROR(INDEX(INDIRECT("_"&amp;F$9),MATCH($B12&amp;PASSFAIL!F$85,UID,0)),"")</f>
        <v>5.0999999999999997E-2</v>
      </c>
      <c r="G12" s="60">
        <f ca="1">IFERROR(INDEX(INDIRECT("_"&amp;G$9),MATCH($B12&amp;PASSFAIL!G$85,UID,0)),"")</f>
        <v>5.0999999999999997E-2</v>
      </c>
      <c r="H12" s="61" t="str">
        <f ca="1">IF(PASSFAIL!H9="","",IF(PASSFAIL!H9=5,"PASS","FAIL"))</f>
        <v>PASS</v>
      </c>
      <c r="I12" s="59">
        <v>43</v>
      </c>
      <c r="J12" s="60" t="str">
        <f ca="1">IFERROR(INDEX(INDIRECT("_"&amp;J$9),MATCH($I12&amp;PASSFAIL!C$85,UID,0)),"")</f>
        <v/>
      </c>
      <c r="K12" s="60" t="str">
        <f ca="1">IFERROR(INDEX(INDIRECT("_"&amp;K$9),MATCH($I12&amp;PASSFAIL!D$85,UID,0)),"")</f>
        <v/>
      </c>
      <c r="L12" s="60" t="str">
        <f ca="1">IFERROR(INDEX(INDIRECT("_"&amp;L$9),MATCH($I12&amp;PASSFAIL!E$85,UID,0)),"")</f>
        <v/>
      </c>
      <c r="M12" s="60" t="str">
        <f ca="1">IFERROR(INDEX(INDIRECT("_"&amp;M$9),MATCH($I12&amp;PASSFAIL!F$85,UID,0)),"")</f>
        <v/>
      </c>
      <c r="N12" s="60" t="str">
        <f ca="1">IFERROR(INDEX(INDIRECT("_"&amp;N$9),MATCH($I12&amp;PASSFAIL!G$85,UID,0)),"")</f>
        <v/>
      </c>
      <c r="O12" s="62" t="str">
        <f ca="1">IF(PASSFAIL!H49="","",IF(PASSFAIL!H49=5,"PASS","FAIL"))</f>
        <v/>
      </c>
      <c r="Q12" s="33"/>
      <c r="R12" s="34"/>
      <c r="S12" s="34"/>
      <c r="T12" s="34"/>
      <c r="U12" s="34"/>
      <c r="V12" s="34"/>
      <c r="W12" s="35"/>
      <c r="Y12" s="20"/>
      <c r="Z12" s="21"/>
      <c r="AA12" s="3"/>
    </row>
    <row r="13" spans="2:27" ht="15.75" thickBot="1" x14ac:dyDescent="0.3">
      <c r="B13" s="63">
        <v>4</v>
      </c>
      <c r="C13" s="60">
        <f ca="1">IFERROR(INDEX(INDIRECT("_"&amp;C$9),MATCH($B13&amp;PASSFAIL!C$85,UID,0)),"")</f>
        <v>5.2999999999999999E-2</v>
      </c>
      <c r="D13" s="60">
        <f ca="1">IFERROR(INDEX(INDIRECT("_"&amp;D$9),MATCH($B13&amp;PASSFAIL!D$85,UID,0)),"")</f>
        <v>5.5E-2</v>
      </c>
      <c r="E13" s="60">
        <f ca="1">IFERROR(INDEX(INDIRECT("_"&amp;E$9),MATCH($B13&amp;PASSFAIL!E$85,UID,0)),"")</f>
        <v>5.3999999999999999E-2</v>
      </c>
      <c r="F13" s="60">
        <f ca="1">IFERROR(INDEX(INDIRECT("_"&amp;F$9),MATCH($B13&amp;PASSFAIL!F$85,UID,0)),"")</f>
        <v>5.3999999999999999E-2</v>
      </c>
      <c r="G13" s="60">
        <f ca="1">IFERROR(INDEX(INDIRECT("_"&amp;G$9),MATCH($B13&amp;PASSFAIL!G$85,UID,0)),"")</f>
        <v>5.3999999999999999E-2</v>
      </c>
      <c r="H13" s="61" t="str">
        <f ca="1">IF(PASSFAIL!H10="","",IF(PASSFAIL!H10=5,"PASS","FAIL"))</f>
        <v>PASS</v>
      </c>
      <c r="I13" s="63">
        <v>44</v>
      </c>
      <c r="J13" s="60" t="str">
        <f ca="1">IFERROR(INDEX(INDIRECT("_"&amp;J$9),MATCH($I13&amp;PASSFAIL!C$85,UID,0)),"")</f>
        <v/>
      </c>
      <c r="K13" s="60" t="str">
        <f ca="1">IFERROR(INDEX(INDIRECT("_"&amp;K$9),MATCH($I13&amp;PASSFAIL!D$85,UID,0)),"")</f>
        <v/>
      </c>
      <c r="L13" s="60" t="str">
        <f ca="1">IFERROR(INDEX(INDIRECT("_"&amp;L$9),MATCH($I13&amp;PASSFAIL!E$85,UID,0)),"")</f>
        <v/>
      </c>
      <c r="M13" s="60" t="str">
        <f ca="1">IFERROR(INDEX(INDIRECT("_"&amp;M$9),MATCH($I13&amp;PASSFAIL!F$85,UID,0)),"")</f>
        <v/>
      </c>
      <c r="N13" s="60" t="str">
        <f ca="1">IFERROR(INDEX(INDIRECT("_"&amp;N$9),MATCH($I13&amp;PASSFAIL!G$85,UID,0)),"")</f>
        <v/>
      </c>
      <c r="O13" s="62" t="str">
        <f ca="1">IF(PASSFAIL!H50="","",IF(PASSFAIL!H50=5,"PASS","FAIL"))</f>
        <v/>
      </c>
      <c r="Q13" s="33"/>
      <c r="R13" s="34"/>
      <c r="S13" s="34"/>
      <c r="T13" s="34"/>
      <c r="U13" s="34"/>
      <c r="V13" s="34"/>
      <c r="W13" s="35"/>
      <c r="Y13" s="22"/>
      <c r="Z13" s="23"/>
      <c r="AA13" s="3"/>
    </row>
    <row r="14" spans="2:27" x14ac:dyDescent="0.25">
      <c r="B14" s="63">
        <v>5</v>
      </c>
      <c r="C14" s="60">
        <f ca="1">IFERROR(INDEX(INDIRECT("_"&amp;C$9),MATCH($B14&amp;PASSFAIL!C$85,UID,0)),"")</f>
        <v>4.9000000000000002E-2</v>
      </c>
      <c r="D14" s="60">
        <f ca="1">IFERROR(INDEX(INDIRECT("_"&amp;D$9),MATCH($B14&amp;PASSFAIL!D$85,UID,0)),"")</f>
        <v>4.8000000000000001E-2</v>
      </c>
      <c r="E14" s="60">
        <f ca="1">IFERROR(INDEX(INDIRECT("_"&amp;E$9),MATCH($B14&amp;PASSFAIL!E$85,UID,0)),"")</f>
        <v>4.8000000000000001E-2</v>
      </c>
      <c r="F14" s="60">
        <f ca="1">IFERROR(INDEX(INDIRECT("_"&amp;F$9),MATCH($B14&amp;PASSFAIL!F$85,UID,0)),"")</f>
        <v>4.9000000000000002E-2</v>
      </c>
      <c r="G14" s="60">
        <f ca="1">IFERROR(INDEX(INDIRECT("_"&amp;G$9),MATCH($B14&amp;PASSFAIL!G$85,UID,0)),"")</f>
        <v>4.9000000000000002E-2</v>
      </c>
      <c r="H14" s="61" t="str">
        <f ca="1">IF(PASSFAIL!H11="","",IF(PASSFAIL!H11=5,"PASS","FAIL"))</f>
        <v>PASS</v>
      </c>
      <c r="I14" s="59">
        <v>45</v>
      </c>
      <c r="J14" s="60" t="str">
        <f ca="1">IFERROR(INDEX(INDIRECT("_"&amp;J$9),MATCH($I14&amp;PASSFAIL!C$85,UID,0)),"")</f>
        <v/>
      </c>
      <c r="K14" s="60" t="str">
        <f ca="1">IFERROR(INDEX(INDIRECT("_"&amp;K$9),MATCH($I14&amp;PASSFAIL!D$85,UID,0)),"")</f>
        <v/>
      </c>
      <c r="L14" s="60" t="str">
        <f ca="1">IFERROR(INDEX(INDIRECT("_"&amp;L$9),MATCH($I14&amp;PASSFAIL!E$85,UID,0)),"")</f>
        <v/>
      </c>
      <c r="M14" s="60" t="str">
        <f ca="1">IFERROR(INDEX(INDIRECT("_"&amp;M$9),MATCH($I14&amp;PASSFAIL!F$85,UID,0)),"")</f>
        <v/>
      </c>
      <c r="N14" s="60" t="str">
        <f ca="1">IFERROR(INDEX(INDIRECT("_"&amp;N$9),MATCH($I14&amp;PASSFAIL!G$85,UID,0)),"")</f>
        <v/>
      </c>
      <c r="O14" s="62" t="str">
        <f ca="1">IF(PASSFAIL!H51="","",IF(PASSFAIL!H51=5,"PASS","FAIL"))</f>
        <v/>
      </c>
      <c r="Q14" s="33"/>
      <c r="R14" s="34"/>
      <c r="S14" s="34"/>
      <c r="T14" s="34"/>
      <c r="U14" s="34"/>
      <c r="V14" s="34"/>
      <c r="W14" s="35"/>
      <c r="Y14" s="27"/>
      <c r="AA14" s="3"/>
    </row>
    <row r="15" spans="2:27" x14ac:dyDescent="0.25">
      <c r="B15" s="63">
        <v>6</v>
      </c>
      <c r="C15" s="60">
        <f ca="1">IFERROR(INDEX(INDIRECT("_"&amp;C$9),MATCH($B15&amp;PASSFAIL!C$85,UID,0)),"")</f>
        <v>5.1999999999999998E-2</v>
      </c>
      <c r="D15" s="60">
        <f ca="1">IFERROR(INDEX(INDIRECT("_"&amp;D$9),MATCH($B15&amp;PASSFAIL!D$85,UID,0)),"")</f>
        <v>5.0999999999999997E-2</v>
      </c>
      <c r="E15" s="60">
        <f ca="1">IFERROR(INDEX(INDIRECT("_"&amp;E$9),MATCH($B15&amp;PASSFAIL!E$85,UID,0)),"")</f>
        <v>5.0999999999999997E-2</v>
      </c>
      <c r="F15" s="60">
        <f ca="1">IFERROR(INDEX(INDIRECT("_"&amp;F$9),MATCH($B15&amp;PASSFAIL!F$85,UID,0)),"")</f>
        <v>5.1999999999999998E-2</v>
      </c>
      <c r="G15" s="60">
        <f ca="1">IFERROR(INDEX(INDIRECT("_"&amp;G$9),MATCH($B15&amp;PASSFAIL!G$85,UID,0)),"")</f>
        <v>5.0999999999999997E-2</v>
      </c>
      <c r="H15" s="61" t="str">
        <f ca="1">IF(PASSFAIL!H12="","",IF(PASSFAIL!H12=5,"PASS","FAIL"))</f>
        <v>PASS</v>
      </c>
      <c r="I15" s="63">
        <v>46</v>
      </c>
      <c r="J15" s="60" t="str">
        <f ca="1">IFERROR(INDEX(INDIRECT("_"&amp;J$9),MATCH($I15&amp;PASSFAIL!C$85,UID,0)),"")</f>
        <v/>
      </c>
      <c r="K15" s="60" t="str">
        <f ca="1">IFERROR(INDEX(INDIRECT("_"&amp;K$9),MATCH($I15&amp;PASSFAIL!D$85,UID,0)),"")</f>
        <v/>
      </c>
      <c r="L15" s="60" t="str">
        <f ca="1">IFERROR(INDEX(INDIRECT("_"&amp;L$9),MATCH($I15&amp;PASSFAIL!E$85,UID,0)),"")</f>
        <v/>
      </c>
      <c r="M15" s="60" t="str">
        <f ca="1">IFERROR(INDEX(INDIRECT("_"&amp;M$9),MATCH($I15&amp;PASSFAIL!F$85,UID,0)),"")</f>
        <v/>
      </c>
      <c r="N15" s="60" t="str">
        <f ca="1">IFERROR(INDEX(INDIRECT("_"&amp;N$9),MATCH($I15&amp;PASSFAIL!G$85,UID,0)),"")</f>
        <v/>
      </c>
      <c r="O15" s="62" t="str">
        <f ca="1">IF(PASSFAIL!H52="","",IF(PASSFAIL!H52=5,"PASS","FAIL"))</f>
        <v/>
      </c>
      <c r="Q15" s="33"/>
      <c r="R15" s="34"/>
      <c r="S15" s="34"/>
      <c r="T15" s="34"/>
      <c r="U15" s="34"/>
      <c r="V15" s="34"/>
      <c r="W15" s="35"/>
      <c r="Y15" s="27"/>
      <c r="AA15" s="3"/>
    </row>
    <row r="16" spans="2:27" x14ac:dyDescent="0.25">
      <c r="B16" s="63">
        <v>7</v>
      </c>
      <c r="C16" s="60">
        <f ca="1">IFERROR(INDEX(INDIRECT("_"&amp;C$9),MATCH($B16&amp;PASSFAIL!C$85,UID,0)),"")</f>
        <v>5.1999999999999998E-2</v>
      </c>
      <c r="D16" s="60">
        <f ca="1">IFERROR(INDEX(INDIRECT("_"&amp;D$9),MATCH($B16&amp;PASSFAIL!D$85,UID,0)),"")</f>
        <v>5.1999999999999998E-2</v>
      </c>
      <c r="E16" s="60">
        <f ca="1">IFERROR(INDEX(INDIRECT("_"&amp;E$9),MATCH($B16&amp;PASSFAIL!E$85,UID,0)),"")</f>
        <v>5.1999999999999998E-2</v>
      </c>
      <c r="F16" s="60">
        <f ca="1">IFERROR(INDEX(INDIRECT("_"&amp;F$9),MATCH($B16&amp;PASSFAIL!F$85,UID,0)),"")</f>
        <v>5.0999999999999997E-2</v>
      </c>
      <c r="G16" s="60">
        <f ca="1">IFERROR(INDEX(INDIRECT("_"&amp;G$9),MATCH($B16&amp;PASSFAIL!G$85,UID,0)),"")</f>
        <v>5.2999999999999999E-2</v>
      </c>
      <c r="H16" s="61" t="str">
        <f ca="1">IF(PASSFAIL!H13="","",IF(PASSFAIL!H13=5,"PASS","FAIL"))</f>
        <v>PASS</v>
      </c>
      <c r="I16" s="59">
        <v>47</v>
      </c>
      <c r="J16" s="60" t="str">
        <f ca="1">IFERROR(INDEX(INDIRECT("_"&amp;J$9),MATCH($I16&amp;PASSFAIL!C$85,UID,0)),"")</f>
        <v/>
      </c>
      <c r="K16" s="60" t="str">
        <f ca="1">IFERROR(INDEX(INDIRECT("_"&amp;K$9),MATCH($I16&amp;PASSFAIL!D$85,UID,0)),"")</f>
        <v/>
      </c>
      <c r="L16" s="60" t="str">
        <f ca="1">IFERROR(INDEX(INDIRECT("_"&amp;L$9),MATCH($I16&amp;PASSFAIL!E$85,UID,0)),"")</f>
        <v/>
      </c>
      <c r="M16" s="60" t="str">
        <f ca="1">IFERROR(INDEX(INDIRECT("_"&amp;M$9),MATCH($I16&amp;PASSFAIL!F$85,UID,0)),"")</f>
        <v/>
      </c>
      <c r="N16" s="60" t="str">
        <f ca="1">IFERROR(INDEX(INDIRECT("_"&amp;N$9),MATCH($I16&amp;PASSFAIL!G$85,UID,0)),"")</f>
        <v/>
      </c>
      <c r="O16" s="62" t="str">
        <f ca="1">IF(PASSFAIL!H53="","",IF(PASSFAIL!H53=5,"PASS","FAIL"))</f>
        <v/>
      </c>
      <c r="Q16" s="33"/>
      <c r="R16" s="34"/>
      <c r="S16" s="34"/>
      <c r="T16" s="34"/>
      <c r="U16" s="34"/>
      <c r="V16" s="34"/>
      <c r="W16" s="35"/>
      <c r="Y16" s="28" t="s">
        <v>16</v>
      </c>
      <c r="AA16" s="3"/>
    </row>
    <row r="17" spans="2:27" x14ac:dyDescent="0.25">
      <c r="B17" s="63">
        <v>8</v>
      </c>
      <c r="C17" s="60">
        <f ca="1">IFERROR(INDEX(INDIRECT("_"&amp;C$9),MATCH($B17&amp;PASSFAIL!C$85,UID,0)),"")</f>
        <v>5.1999999999999998E-2</v>
      </c>
      <c r="D17" s="60">
        <f ca="1">IFERROR(INDEX(INDIRECT("_"&amp;D$9),MATCH($B17&amp;PASSFAIL!D$85,UID,0)),"")</f>
        <v>5.1999999999999998E-2</v>
      </c>
      <c r="E17" s="60">
        <f ca="1">IFERROR(INDEX(INDIRECT("_"&amp;E$9),MATCH($B17&amp;PASSFAIL!E$85,UID,0)),"")</f>
        <v>5.1999999999999998E-2</v>
      </c>
      <c r="F17" s="60">
        <f ca="1">IFERROR(INDEX(INDIRECT("_"&amp;F$9),MATCH($B17&amp;PASSFAIL!F$85,UID,0)),"")</f>
        <v>5.0999999999999997E-2</v>
      </c>
      <c r="G17" s="60">
        <f ca="1">IFERROR(INDEX(INDIRECT("_"&amp;G$9),MATCH($B17&amp;PASSFAIL!G$85,UID,0)),"")</f>
        <v>5.0999999999999997E-2</v>
      </c>
      <c r="H17" s="61" t="str">
        <f ca="1">IF(PASSFAIL!H14="","",IF(PASSFAIL!H14=5,"PASS","FAIL"))</f>
        <v>PASS</v>
      </c>
      <c r="I17" s="63">
        <v>48</v>
      </c>
      <c r="J17" s="60" t="str">
        <f ca="1">IFERROR(INDEX(INDIRECT("_"&amp;J$9),MATCH($I17&amp;PASSFAIL!C$85,UID,0)),"")</f>
        <v/>
      </c>
      <c r="K17" s="60" t="str">
        <f ca="1">IFERROR(INDEX(INDIRECT("_"&amp;K$9),MATCH($I17&amp;PASSFAIL!D$85,UID,0)),"")</f>
        <v/>
      </c>
      <c r="L17" s="60" t="str">
        <f ca="1">IFERROR(INDEX(INDIRECT("_"&amp;L$9),MATCH($I17&amp;PASSFAIL!E$85,UID,0)),"")</f>
        <v/>
      </c>
      <c r="M17" s="60" t="str">
        <f ca="1">IFERROR(INDEX(INDIRECT("_"&amp;M$9),MATCH($I17&amp;PASSFAIL!F$85,UID,0)),"")</f>
        <v/>
      </c>
      <c r="N17" s="60" t="str">
        <f ca="1">IFERROR(INDEX(INDIRECT("_"&amp;N$9),MATCH($I17&amp;PASSFAIL!G$85,UID,0)),"")</f>
        <v/>
      </c>
      <c r="O17" s="62" t="str">
        <f ca="1">IF(PASSFAIL!H54="","",IF(PASSFAIL!H54=5,"PASS","FAIL"))</f>
        <v/>
      </c>
      <c r="Q17" s="33"/>
      <c r="R17" s="34"/>
      <c r="S17" s="34"/>
      <c r="T17" s="34"/>
      <c r="U17" s="34"/>
      <c r="V17" s="34"/>
      <c r="W17" s="35"/>
      <c r="Y17" s="27" t="s">
        <v>17</v>
      </c>
      <c r="AA17" s="3"/>
    </row>
    <row r="18" spans="2:27" x14ac:dyDescent="0.25">
      <c r="B18" s="63">
        <v>9</v>
      </c>
      <c r="C18" s="60">
        <f ca="1">IFERROR(INDEX(INDIRECT("_"&amp;C$9),MATCH($B18&amp;PASSFAIL!C$85,UID,0)),"")</f>
        <v>5.1999999999999998E-2</v>
      </c>
      <c r="D18" s="60">
        <f ca="1">IFERROR(INDEX(INDIRECT("_"&amp;D$9),MATCH($B18&amp;PASSFAIL!D$85,UID,0)),"")</f>
        <v>5.1999999999999998E-2</v>
      </c>
      <c r="E18" s="60">
        <f ca="1">IFERROR(INDEX(INDIRECT("_"&amp;E$9),MATCH($B18&amp;PASSFAIL!E$85,UID,0)),"")</f>
        <v>5.1999999999999998E-2</v>
      </c>
      <c r="F18" s="60">
        <f ca="1">IFERROR(INDEX(INDIRECT("_"&amp;F$9),MATCH($B18&amp;PASSFAIL!F$85,UID,0)),"")</f>
        <v>5.0999999999999997E-2</v>
      </c>
      <c r="G18" s="60">
        <f ca="1">IFERROR(INDEX(INDIRECT("_"&amp;G$9),MATCH($B18&amp;PASSFAIL!G$85,UID,0)),"")</f>
        <v>5.1999999999999998E-2</v>
      </c>
      <c r="H18" s="61" t="str">
        <f ca="1">IF(PASSFAIL!H15="","",IF(PASSFAIL!H15=5,"PASS","FAIL"))</f>
        <v>PASS</v>
      </c>
      <c r="I18" s="59">
        <v>49</v>
      </c>
      <c r="J18" s="60" t="str">
        <f ca="1">IFERROR(INDEX(INDIRECT("_"&amp;J$9),MATCH($I18&amp;PASSFAIL!C$85,UID,0)),"")</f>
        <v/>
      </c>
      <c r="K18" s="60" t="str">
        <f ca="1">IFERROR(INDEX(INDIRECT("_"&amp;K$9),MATCH($I18&amp;PASSFAIL!D$85,UID,0)),"")</f>
        <v/>
      </c>
      <c r="L18" s="60" t="str">
        <f ca="1">IFERROR(INDEX(INDIRECT("_"&amp;L$9),MATCH($I18&amp;PASSFAIL!E$85,UID,0)),"")</f>
        <v/>
      </c>
      <c r="M18" s="60" t="str">
        <f ca="1">IFERROR(INDEX(INDIRECT("_"&amp;M$9),MATCH($I18&amp;PASSFAIL!F$85,UID,0)),"")</f>
        <v/>
      </c>
      <c r="N18" s="60" t="str">
        <f ca="1">IFERROR(INDEX(INDIRECT("_"&amp;N$9),MATCH($I18&amp;PASSFAIL!G$85,UID,0)),"")</f>
        <v/>
      </c>
      <c r="O18" s="62" t="str">
        <f ca="1">IF(PASSFAIL!H55="","",IF(PASSFAIL!H55=5,"PASS","FAIL"))</f>
        <v/>
      </c>
      <c r="Q18" s="33"/>
      <c r="R18" s="34"/>
      <c r="S18" s="34"/>
      <c r="T18" s="34"/>
      <c r="U18" s="34"/>
      <c r="V18" s="34"/>
      <c r="W18" s="35"/>
      <c r="Y18" s="27" t="s">
        <v>23</v>
      </c>
      <c r="AA18" s="3"/>
    </row>
    <row r="19" spans="2:27" ht="15.75" thickBot="1" x14ac:dyDescent="0.3">
      <c r="B19" s="63">
        <v>10</v>
      </c>
      <c r="C19" s="60">
        <f ca="1">IFERROR(INDEX(INDIRECT("_"&amp;C$9),MATCH($B19&amp;PASSFAIL!C$85,UID,0)),"")</f>
        <v>5.2999999999999999E-2</v>
      </c>
      <c r="D19" s="60">
        <f ca="1">IFERROR(INDEX(INDIRECT("_"&amp;D$9),MATCH($B19&amp;PASSFAIL!D$85,UID,0)),"")</f>
        <v>5.2999999999999999E-2</v>
      </c>
      <c r="E19" s="60">
        <f ca="1">IFERROR(INDEX(INDIRECT("_"&amp;E$9),MATCH($B19&amp;PASSFAIL!E$85,UID,0)),"")</f>
        <v>5.1999999999999998E-2</v>
      </c>
      <c r="F19" s="60">
        <f ca="1">IFERROR(INDEX(INDIRECT("_"&amp;F$9),MATCH($B19&amp;PASSFAIL!F$85,UID,0)),"")</f>
        <v>5.2999999999999999E-2</v>
      </c>
      <c r="G19" s="60">
        <f ca="1">IFERROR(INDEX(INDIRECT("_"&amp;G$9),MATCH($B19&amp;PASSFAIL!G$85,UID,0)),"")</f>
        <v>5.1999999999999998E-2</v>
      </c>
      <c r="H19" s="61" t="str">
        <f ca="1">IF(PASSFAIL!H16="","",IF(PASSFAIL!H16=5,"PASS","FAIL"))</f>
        <v>PASS</v>
      </c>
      <c r="I19" s="63">
        <v>50</v>
      </c>
      <c r="J19" s="60" t="str">
        <f ca="1">IFERROR(INDEX(INDIRECT("_"&amp;J$9),MATCH($I19&amp;PASSFAIL!C$85,UID,0)),"")</f>
        <v/>
      </c>
      <c r="K19" s="60" t="str">
        <f ca="1">IFERROR(INDEX(INDIRECT("_"&amp;K$9),MATCH($I19&amp;PASSFAIL!D$85,UID,0)),"")</f>
        <v/>
      </c>
      <c r="L19" s="60" t="str">
        <f ca="1">IFERROR(INDEX(INDIRECT("_"&amp;L$9),MATCH($I19&amp;PASSFAIL!E$85,UID,0)),"")</f>
        <v/>
      </c>
      <c r="M19" s="60" t="str">
        <f ca="1">IFERROR(INDEX(INDIRECT("_"&amp;M$9),MATCH($I19&amp;PASSFAIL!F$85,UID,0)),"")</f>
        <v/>
      </c>
      <c r="N19" s="60" t="str">
        <f ca="1">IFERROR(INDEX(INDIRECT("_"&amp;N$9),MATCH($I19&amp;PASSFAIL!G$85,UID,0)),"")</f>
        <v/>
      </c>
      <c r="O19" s="62" t="str">
        <f ca="1">IF(PASSFAIL!H56="","",IF(PASSFAIL!H56=5,"PASS","FAIL"))</f>
        <v/>
      </c>
      <c r="Q19" s="36"/>
      <c r="R19" s="37"/>
      <c r="S19" s="37"/>
      <c r="T19" s="37"/>
      <c r="U19" s="37"/>
      <c r="V19" s="37"/>
      <c r="W19" s="38"/>
      <c r="Y19" s="4" t="s">
        <v>18</v>
      </c>
      <c r="Z19" s="5"/>
      <c r="AA19" s="6"/>
    </row>
    <row r="20" spans="2:27" x14ac:dyDescent="0.25">
      <c r="B20" s="63">
        <v>11</v>
      </c>
      <c r="C20" s="60">
        <f ca="1">IFERROR(INDEX(INDIRECT("_"&amp;C$9),MATCH($B20&amp;PASSFAIL!C$85,UID,0)),"")</f>
        <v>5.2999999999999999E-2</v>
      </c>
      <c r="D20" s="60">
        <f ca="1">IFERROR(INDEX(INDIRECT("_"&amp;D$9),MATCH($B20&amp;PASSFAIL!D$85,UID,0)),"")</f>
        <v>5.2999999999999999E-2</v>
      </c>
      <c r="E20" s="60">
        <f ca="1">IFERROR(INDEX(INDIRECT("_"&amp;E$9),MATCH($B20&amp;PASSFAIL!E$85,UID,0)),"")</f>
        <v>5.2999999999999999E-2</v>
      </c>
      <c r="F20" s="60">
        <f ca="1">IFERROR(INDEX(INDIRECT("_"&amp;F$9),MATCH($B20&amp;PASSFAIL!F$85,UID,0)),"")</f>
        <v>5.2999999999999999E-2</v>
      </c>
      <c r="G20" s="60">
        <f ca="1">IFERROR(INDEX(INDIRECT("_"&amp;G$9),MATCH($B20&amp;PASSFAIL!G$85,UID,0)),"")</f>
        <v>5.2999999999999999E-2</v>
      </c>
      <c r="H20" s="61" t="str">
        <f ca="1">IF(PASSFAIL!H17="","",IF(PASSFAIL!H17=5,"PASS","FAIL"))</f>
        <v>PASS</v>
      </c>
      <c r="I20" s="59">
        <v>51</v>
      </c>
      <c r="J20" s="60" t="str">
        <f ca="1">IFERROR(INDEX(INDIRECT("_"&amp;J$9),MATCH($I20&amp;PASSFAIL!C$85,UID,0)),"")</f>
        <v/>
      </c>
      <c r="K20" s="60" t="str">
        <f ca="1">IFERROR(INDEX(INDIRECT("_"&amp;K$9),MATCH($I20&amp;PASSFAIL!D$85,UID,0)),"")</f>
        <v/>
      </c>
      <c r="L20" s="60" t="str">
        <f ca="1">IFERROR(INDEX(INDIRECT("_"&amp;L$9),MATCH($I20&amp;PASSFAIL!E$85,UID,0)),"")</f>
        <v/>
      </c>
      <c r="M20" s="60" t="str">
        <f ca="1">IFERROR(INDEX(INDIRECT("_"&amp;M$9),MATCH($I20&amp;PASSFAIL!F$85,UID,0)),"")</f>
        <v/>
      </c>
      <c r="N20" s="60" t="str">
        <f ca="1">IFERROR(INDEX(INDIRECT("_"&amp;N$9),MATCH($I20&amp;PASSFAIL!G$85,UID,0)),"")</f>
        <v/>
      </c>
      <c r="O20" s="62" t="str">
        <f ca="1">IF(PASSFAIL!H57="","",IF(PASSFAIL!H57=5,"PASS","FAIL"))</f>
        <v/>
      </c>
    </row>
    <row r="21" spans="2:27" x14ac:dyDescent="0.25">
      <c r="B21" s="63">
        <v>12</v>
      </c>
      <c r="C21" s="60">
        <f ca="1">IFERROR(INDEX(INDIRECT("_"&amp;C$9),MATCH($B21&amp;PASSFAIL!C$85,UID,0)),"")</f>
        <v>5.1999999999999998E-2</v>
      </c>
      <c r="D21" s="60">
        <f ca="1">IFERROR(INDEX(INDIRECT("_"&amp;D$9),MATCH($B21&amp;PASSFAIL!D$85,UID,0)),"")</f>
        <v>5.2999999999999999E-2</v>
      </c>
      <c r="E21" s="60">
        <f ca="1">IFERROR(INDEX(INDIRECT("_"&amp;E$9),MATCH($B21&amp;PASSFAIL!E$85,UID,0)),"")</f>
        <v>5.1999999999999998E-2</v>
      </c>
      <c r="F21" s="60">
        <f ca="1">IFERROR(INDEX(INDIRECT("_"&amp;F$9),MATCH($B21&amp;PASSFAIL!F$85,UID,0)),"")</f>
        <v>5.1999999999999998E-2</v>
      </c>
      <c r="G21" s="60">
        <f ca="1">IFERROR(INDEX(INDIRECT("_"&amp;G$9),MATCH($B21&amp;PASSFAIL!G$85,UID,0)),"")</f>
        <v>5.0999999999999997E-2</v>
      </c>
      <c r="H21" s="61" t="str">
        <f ca="1">IF(PASSFAIL!H18="","",IF(PASSFAIL!H18=5,"PASS","FAIL"))</f>
        <v>PASS</v>
      </c>
      <c r="I21" s="63">
        <v>52</v>
      </c>
      <c r="J21" s="60" t="str">
        <f ca="1">IFERROR(INDEX(INDIRECT("_"&amp;J$9),MATCH($I21&amp;PASSFAIL!C$85,UID,0)),"")</f>
        <v/>
      </c>
      <c r="K21" s="60" t="str">
        <f ca="1">IFERROR(INDEX(INDIRECT("_"&amp;K$9),MATCH($I21&amp;PASSFAIL!D$85,UID,0)),"")</f>
        <v/>
      </c>
      <c r="L21" s="60" t="str">
        <f ca="1">IFERROR(INDEX(INDIRECT("_"&amp;L$9),MATCH($I21&amp;PASSFAIL!E$85,UID,0)),"")</f>
        <v/>
      </c>
      <c r="M21" s="60" t="str">
        <f ca="1">IFERROR(INDEX(INDIRECT("_"&amp;M$9),MATCH($I21&amp;PASSFAIL!F$85,UID,0)),"")</f>
        <v/>
      </c>
      <c r="N21" s="60" t="str">
        <f ca="1">IFERROR(INDEX(INDIRECT("_"&amp;N$9),MATCH($I21&amp;PASSFAIL!G$85,UID,0)),"")</f>
        <v/>
      </c>
      <c r="O21" s="62" t="str">
        <f ca="1">IF(PASSFAIL!H58="","",IF(PASSFAIL!H58=5,"PASS","FAIL"))</f>
        <v/>
      </c>
      <c r="Q21" s="24" t="str">
        <f>"Table 1. Summary Statistic for sub-WO: "&amp;F5</f>
        <v>Table 1. Summary Statistic for sub-WO: L08-004637-01</v>
      </c>
    </row>
    <row r="22" spans="2:27" x14ac:dyDescent="0.25">
      <c r="B22" s="63">
        <v>13</v>
      </c>
      <c r="C22" s="60">
        <f ca="1">IFERROR(INDEX(INDIRECT("_"&amp;C$9),MATCH($B22&amp;PASSFAIL!C$85,UID,0)),"")</f>
        <v>5.1999999999999998E-2</v>
      </c>
      <c r="D22" s="60">
        <f ca="1">IFERROR(INDEX(INDIRECT("_"&amp;D$9),MATCH($B22&amp;PASSFAIL!D$85,UID,0)),"")</f>
        <v>5.1999999999999998E-2</v>
      </c>
      <c r="E22" s="60">
        <f ca="1">IFERROR(INDEX(INDIRECT("_"&amp;E$9),MATCH($B22&amp;PASSFAIL!E$85,UID,0)),"")</f>
        <v>5.1999999999999998E-2</v>
      </c>
      <c r="F22" s="60">
        <f ca="1">IFERROR(INDEX(INDIRECT("_"&amp;F$9),MATCH($B22&amp;PASSFAIL!F$85,UID,0)),"")</f>
        <v>4.9000000000000002E-2</v>
      </c>
      <c r="G22" s="60">
        <f ca="1">IFERROR(INDEX(INDIRECT("_"&amp;G$9),MATCH($B22&amp;PASSFAIL!G$85,UID,0)),"")</f>
        <v>5.0999999999999997E-2</v>
      </c>
      <c r="H22" s="61" t="str">
        <f ca="1">IF(PASSFAIL!H19="","",IF(PASSFAIL!H19=5,"PASS","FAIL"))</f>
        <v>PASS</v>
      </c>
      <c r="I22" s="59">
        <v>53</v>
      </c>
      <c r="J22" s="60" t="str">
        <f ca="1">IFERROR(INDEX(INDIRECT("_"&amp;J$9),MATCH($I22&amp;PASSFAIL!C$85,UID,0)),"")</f>
        <v/>
      </c>
      <c r="K22" s="60" t="str">
        <f ca="1">IFERROR(INDEX(INDIRECT("_"&amp;K$9),MATCH($I22&amp;PASSFAIL!D$85,UID,0)),"")</f>
        <v/>
      </c>
      <c r="L22" s="60" t="str">
        <f ca="1">IFERROR(INDEX(INDIRECT("_"&amp;L$9),MATCH($I22&amp;PASSFAIL!E$85,UID,0)),"")</f>
        <v/>
      </c>
      <c r="M22" s="60" t="str">
        <f ca="1">IFERROR(INDEX(INDIRECT("_"&amp;M$9),MATCH($I22&amp;PASSFAIL!F$85,UID,0)),"")</f>
        <v/>
      </c>
      <c r="N22" s="60" t="str">
        <f ca="1">IFERROR(INDEX(INDIRECT("_"&amp;N$9),MATCH($I22&amp;PASSFAIL!G$85,UID,0)),"")</f>
        <v/>
      </c>
      <c r="O22" s="62" t="str">
        <f ca="1">IF(PASSFAIL!H59="","",IF(PASSFAIL!H59=5,"PASS","FAIL"))</f>
        <v/>
      </c>
      <c r="Q22" s="64" t="s">
        <v>21</v>
      </c>
      <c r="R22" s="65" t="s">
        <v>0</v>
      </c>
      <c r="S22" s="65" t="s">
        <v>1</v>
      </c>
      <c r="T22" s="65" t="s">
        <v>2</v>
      </c>
      <c r="U22" s="65" t="s">
        <v>3</v>
      </c>
      <c r="V22" s="65" t="s">
        <v>4</v>
      </c>
      <c r="W22" s="66" t="s">
        <v>24</v>
      </c>
    </row>
    <row r="23" spans="2:27" x14ac:dyDescent="0.25">
      <c r="B23" s="63">
        <v>14</v>
      </c>
      <c r="C23" s="60">
        <f ca="1">IFERROR(INDEX(INDIRECT("_"&amp;C$9),MATCH($B23&amp;PASSFAIL!C$85,UID,0)),"")</f>
        <v>5.2999999999999999E-2</v>
      </c>
      <c r="D23" s="60">
        <f ca="1">IFERROR(INDEX(INDIRECT("_"&amp;D$9),MATCH($B23&amp;PASSFAIL!D$85,UID,0)),"")</f>
        <v>5.2999999999999999E-2</v>
      </c>
      <c r="E23" s="60">
        <f ca="1">IFERROR(INDEX(INDIRECT("_"&amp;E$9),MATCH($B23&amp;PASSFAIL!E$85,UID,0)),"")</f>
        <v>5.2999999999999999E-2</v>
      </c>
      <c r="F23" s="60">
        <f ca="1">IFERROR(INDEX(INDIRECT("_"&amp;F$9),MATCH($B23&amp;PASSFAIL!F$85,UID,0)),"")</f>
        <v>5.1999999999999998E-2</v>
      </c>
      <c r="G23" s="60">
        <f ca="1">IFERROR(INDEX(INDIRECT("_"&amp;G$9),MATCH($B23&amp;PASSFAIL!G$85,UID,0)),"")</f>
        <v>5.1999999999999998E-2</v>
      </c>
      <c r="H23" s="61" t="str">
        <f ca="1">IF(PASSFAIL!H20="","",IF(PASSFAIL!H20=5,"PASS","FAIL"))</f>
        <v>PASS</v>
      </c>
      <c r="I23" s="63">
        <v>54</v>
      </c>
      <c r="J23" s="60" t="str">
        <f ca="1">IFERROR(INDEX(INDIRECT("_"&amp;J$9),MATCH($I23&amp;PASSFAIL!C$85,UID,0)),"")</f>
        <v/>
      </c>
      <c r="K23" s="60" t="str">
        <f ca="1">IFERROR(INDEX(INDIRECT("_"&amp;K$9),MATCH($I23&amp;PASSFAIL!D$85,UID,0)),"")</f>
        <v/>
      </c>
      <c r="L23" s="60" t="str">
        <f ca="1">IFERROR(INDEX(INDIRECT("_"&amp;L$9),MATCH($I23&amp;PASSFAIL!E$85,UID,0)),"")</f>
        <v/>
      </c>
      <c r="M23" s="60" t="str">
        <f ca="1">IFERROR(INDEX(INDIRECT("_"&amp;M$9),MATCH($I23&amp;PASSFAIL!F$85,UID,0)),"")</f>
        <v/>
      </c>
      <c r="N23" s="60" t="str">
        <f ca="1">IFERROR(INDEX(INDIRECT("_"&amp;N$9),MATCH($I23&amp;PASSFAIL!G$85,UID,0)),"")</f>
        <v/>
      </c>
      <c r="O23" s="62" t="str">
        <f ca="1">IF(PASSFAIL!H60="","",IF(PASSFAIL!H60=5,"PASS","FAIL"))</f>
        <v/>
      </c>
      <c r="Q23" s="67" t="s">
        <v>22</v>
      </c>
      <c r="R23" s="68">
        <f ca="1">COUNTIF(C$10:C$49,"&gt;0")+COUNTIF(J$10:J$49,"&gt;0")</f>
        <v>17</v>
      </c>
      <c r="S23" s="68">
        <f ca="1">COUNTIF(D$10:D$49,"&gt;0")+COUNTIF(K$10:K$49,"&gt;0")</f>
        <v>17</v>
      </c>
      <c r="T23" s="68">
        <f ca="1">COUNTIF(E$10:E$49,"&gt;0")+COUNTIF(L$10:L$49,"&gt;0")</f>
        <v>17</v>
      </c>
      <c r="U23" s="68">
        <f ca="1">COUNTIF(F$10:F$49,"&gt;0")+COUNTIF(M$10:M$49,"&gt;0")</f>
        <v>17</v>
      </c>
      <c r="V23" s="68">
        <f ca="1">COUNTIF(G$10:G$49,"&gt;0")+COUNTIF(N$10:N$49,"&gt;0")</f>
        <v>17</v>
      </c>
      <c r="W23" s="119">
        <f ca="1">L7</f>
        <v>1</v>
      </c>
    </row>
    <row r="24" spans="2:27" x14ac:dyDescent="0.25">
      <c r="B24" s="63">
        <v>15</v>
      </c>
      <c r="C24" s="60">
        <f ca="1">IFERROR(INDEX(INDIRECT("_"&amp;C$9),MATCH($B24&amp;PASSFAIL!C$85,UID,0)),"")</f>
        <v>5.3999999999999999E-2</v>
      </c>
      <c r="D24" s="60">
        <f ca="1">IFERROR(INDEX(INDIRECT("_"&amp;D$9),MATCH($B24&amp;PASSFAIL!D$85,UID,0)),"")</f>
        <v>5.2999999999999999E-2</v>
      </c>
      <c r="E24" s="60">
        <f ca="1">IFERROR(INDEX(INDIRECT("_"&amp;E$9),MATCH($B24&amp;PASSFAIL!E$85,UID,0)),"")</f>
        <v>5.2999999999999999E-2</v>
      </c>
      <c r="F24" s="60">
        <f ca="1">IFERROR(INDEX(INDIRECT("_"&amp;F$9),MATCH($B24&amp;PASSFAIL!F$85,UID,0)),"")</f>
        <v>5.2999999999999999E-2</v>
      </c>
      <c r="G24" s="60">
        <f ca="1">IFERROR(INDEX(INDIRECT("_"&amp;G$9),MATCH($B24&amp;PASSFAIL!G$85,UID,0)),"")</f>
        <v>5.2999999999999999E-2</v>
      </c>
      <c r="H24" s="61" t="str">
        <f ca="1">IF(PASSFAIL!H21="","",IF(PASSFAIL!H21=5,"PASS","FAIL"))</f>
        <v>PASS</v>
      </c>
      <c r="I24" s="59">
        <v>55</v>
      </c>
      <c r="J24" s="60" t="str">
        <f ca="1">IFERROR(INDEX(INDIRECT("_"&amp;J$9),MATCH($I24&amp;PASSFAIL!C$85,UID,0)),"")</f>
        <v/>
      </c>
      <c r="K24" s="60" t="str">
        <f ca="1">IFERROR(INDEX(INDIRECT("_"&amp;K$9),MATCH($I24&amp;PASSFAIL!D$85,UID,0)),"")</f>
        <v/>
      </c>
      <c r="L24" s="60" t="str">
        <f ca="1">IFERROR(INDEX(INDIRECT("_"&amp;L$9),MATCH($I24&amp;PASSFAIL!E$85,UID,0)),"")</f>
        <v/>
      </c>
      <c r="M24" s="60" t="str">
        <f ca="1">IFERROR(INDEX(INDIRECT("_"&amp;M$9),MATCH($I24&amp;PASSFAIL!F$85,UID,0)),"")</f>
        <v/>
      </c>
      <c r="N24" s="60" t="str">
        <f ca="1">IFERROR(INDEX(INDIRECT("_"&amp;N$9),MATCH($I24&amp;PASSFAIL!G$85,UID,0)),"")</f>
        <v/>
      </c>
      <c r="O24" s="62" t="str">
        <f ca="1">IF(PASSFAIL!H61="","",IF(PASSFAIL!H61=5,"PASS","FAIL"))</f>
        <v/>
      </c>
      <c r="Q24" s="69" t="s">
        <v>19</v>
      </c>
      <c r="R24" s="70">
        <f ca="1">IFERROR((IFERROR(SUMIF(C$10:C$49,"&gt;0"),0)+IFERROR(SUMIF(J$10:J$49,"&gt;0"),0))/R23,"")</f>
        <v>5.2352941176470609E-2</v>
      </c>
      <c r="S24" s="70">
        <f ca="1">IFERROR((IFERROR(SUMIF(D$10:D$49,"&gt;0"),0)+IFERROR(SUMIF(K$10:K$49,"&gt;0"),0))/S23,"")</f>
        <v>5.2294117647058845E-2</v>
      </c>
      <c r="T24" s="70">
        <f ca="1">IFERROR((IFERROR(SUMIF(E$10:E$49,"&gt;0"),0)+IFERROR(SUMIF(L$10:L$49,"&gt;0"),0))/T23,"")</f>
        <v>5.1941176470588254E-2</v>
      </c>
      <c r="U24" s="70">
        <f ca="1">IFERROR((IFERROR(SUMIF(F$10:F$49,"&gt;0"),0)+IFERROR(SUMIF(M$10:M$49,"&gt;0"),0))/U23,"")</f>
        <v>5.1764705882352963E-2</v>
      </c>
      <c r="V24" s="70">
        <f ca="1">IFERROR((IFERROR(SUMIF(G$10:G$49,"&gt;0"),0)+IFERROR(SUMIF(N$10:N$49,"&gt;0"),0))/V23,"")</f>
        <v>5.1764705882352963E-2</v>
      </c>
      <c r="W24" s="119"/>
    </row>
    <row r="25" spans="2:27" x14ac:dyDescent="0.25">
      <c r="B25" s="63">
        <v>16</v>
      </c>
      <c r="C25" s="60">
        <f ca="1">IFERROR(INDEX(INDIRECT("_"&amp;C$9),MATCH($B25&amp;PASSFAIL!C$85,UID,0)),"")</f>
        <v>5.2999999999999999E-2</v>
      </c>
      <c r="D25" s="60">
        <f ca="1">IFERROR(INDEX(INDIRECT("_"&amp;D$9),MATCH($B25&amp;PASSFAIL!D$85,UID,0)),"")</f>
        <v>5.1999999999999998E-2</v>
      </c>
      <c r="E25" s="60">
        <f ca="1">IFERROR(INDEX(INDIRECT("_"&amp;E$9),MATCH($B25&amp;PASSFAIL!E$85,UID,0)),"")</f>
        <v>5.1999999999999998E-2</v>
      </c>
      <c r="F25" s="60">
        <f ca="1">IFERROR(INDEX(INDIRECT("_"&amp;F$9),MATCH($B25&amp;PASSFAIL!F$85,UID,0)),"")</f>
        <v>5.2999999999999999E-2</v>
      </c>
      <c r="G25" s="60">
        <f ca="1">IFERROR(INDEX(INDIRECT("_"&amp;G$9),MATCH($B25&amp;PASSFAIL!G$85,UID,0)),"")</f>
        <v>5.2999999999999999E-2</v>
      </c>
      <c r="H25" s="61" t="str">
        <f ca="1">IF(PASSFAIL!H22="","",IF(PASSFAIL!H22=5,"PASS","FAIL"))</f>
        <v>PASS</v>
      </c>
      <c r="I25" s="63">
        <v>56</v>
      </c>
      <c r="J25" s="60" t="str">
        <f ca="1">IFERROR(INDEX(INDIRECT("_"&amp;J$9),MATCH($I25&amp;PASSFAIL!C$85,UID,0)),"")</f>
        <v/>
      </c>
      <c r="K25" s="60" t="str">
        <f ca="1">IFERROR(INDEX(INDIRECT("_"&amp;K$9),MATCH($I25&amp;PASSFAIL!D$85,UID,0)),"")</f>
        <v/>
      </c>
      <c r="L25" s="60" t="str">
        <f ca="1">IFERROR(INDEX(INDIRECT("_"&amp;L$9),MATCH($I25&amp;PASSFAIL!E$85,UID,0)),"")</f>
        <v/>
      </c>
      <c r="M25" s="60" t="str">
        <f ca="1">IFERROR(INDEX(INDIRECT("_"&amp;M$9),MATCH($I25&amp;PASSFAIL!F$85,UID,0)),"")</f>
        <v/>
      </c>
      <c r="N25" s="60" t="str">
        <f ca="1">IFERROR(INDEX(INDIRECT("_"&amp;N$9),MATCH($I25&amp;PASSFAIL!G$85,UID,0)),"")</f>
        <v/>
      </c>
      <c r="O25" s="62" t="str">
        <f ca="1">IF(PASSFAIL!H62="","",IF(PASSFAIL!H62=5,"PASS","FAIL"))</f>
        <v/>
      </c>
      <c r="Q25" s="69" t="s">
        <v>20</v>
      </c>
      <c r="R25" s="70">
        <f ca="1">(IFERROR(STDEV(C$10:C$49),0))</f>
        <v>1.1147408034263072E-3</v>
      </c>
      <c r="S25" s="70">
        <f ca="1">(IFERROR(STDEV(D$10:D$49),0))</f>
        <v>1.4037764192684381E-3</v>
      </c>
      <c r="T25" s="70">
        <f ca="1">(IFERROR(STDEV(E$10:E$49),0))</f>
        <v>1.2976222599091636E-3</v>
      </c>
      <c r="U25" s="70">
        <f ca="1">(IFERROR(STDEV(F$10:F$49),0))</f>
        <v>1.3932610920384713E-3</v>
      </c>
      <c r="V25" s="70">
        <f ca="1">(IFERROR(STDEV(G$10:G$49),0))</f>
        <v>1.5624264688580496E-3</v>
      </c>
      <c r="W25" s="119"/>
    </row>
    <row r="26" spans="2:27" x14ac:dyDescent="0.25">
      <c r="B26" s="63">
        <v>17</v>
      </c>
      <c r="C26" s="60">
        <f ca="1">IFERROR(INDEX(INDIRECT("_"&amp;C$9),MATCH($B26&amp;PASSFAIL!C$85,UID,0)),"")</f>
        <v>5.0999999999999997E-2</v>
      </c>
      <c r="D26" s="60">
        <f ca="1">IFERROR(INDEX(INDIRECT("_"&amp;D$9),MATCH($B26&amp;PASSFAIL!D$85,UID,0)),"")</f>
        <v>5.1999999999999998E-2</v>
      </c>
      <c r="E26" s="60">
        <f ca="1">IFERROR(INDEX(INDIRECT("_"&amp;E$9),MATCH($B26&amp;PASSFAIL!E$85,UID,0)),"")</f>
        <v>5.0999999999999997E-2</v>
      </c>
      <c r="F26" s="60">
        <f ca="1">IFERROR(INDEX(INDIRECT("_"&amp;F$9),MATCH($B26&amp;PASSFAIL!F$85,UID,0)),"")</f>
        <v>5.0999999999999997E-2</v>
      </c>
      <c r="G26" s="60">
        <f ca="1">IFERROR(INDEX(INDIRECT("_"&amp;G$9),MATCH($B26&amp;PASSFAIL!G$85,UID,0)),"")</f>
        <v>4.8000000000000001E-2</v>
      </c>
      <c r="H26" s="61" t="str">
        <f ca="1">IF(PASSFAIL!H23="","",IF(PASSFAIL!H23=5,"PASS","FAIL"))</f>
        <v>PASS</v>
      </c>
      <c r="I26" s="59">
        <v>57</v>
      </c>
      <c r="J26" s="60" t="str">
        <f ca="1">IFERROR(INDEX(INDIRECT("_"&amp;J$9),MATCH($I26&amp;PASSFAIL!C$85,UID,0)),"")</f>
        <v/>
      </c>
      <c r="K26" s="60" t="str">
        <f ca="1">IFERROR(INDEX(INDIRECT("_"&amp;K$9),MATCH($I26&amp;PASSFAIL!D$85,UID,0)),"")</f>
        <v/>
      </c>
      <c r="L26" s="60" t="str">
        <f ca="1">IFERROR(INDEX(INDIRECT("_"&amp;L$9),MATCH($I26&amp;PASSFAIL!E$85,UID,0)),"")</f>
        <v/>
      </c>
      <c r="M26" s="60" t="str">
        <f ca="1">IFERROR(INDEX(INDIRECT("_"&amp;M$9),MATCH($I26&amp;PASSFAIL!F$85,UID,0)),"")</f>
        <v/>
      </c>
      <c r="N26" s="60" t="str">
        <f ca="1">IFERROR(INDEX(INDIRECT("_"&amp;N$9),MATCH($I26&amp;PASSFAIL!G$85,UID,0)),"")</f>
        <v/>
      </c>
      <c r="O26" s="62" t="str">
        <f ca="1">IF(PASSFAIL!H63="","",IF(PASSFAIL!H63=5,"PASS","FAIL"))</f>
        <v/>
      </c>
      <c r="Q26" s="46" t="s">
        <v>14</v>
      </c>
      <c r="R26" s="71">
        <f>USL</f>
        <v>5.5E-2</v>
      </c>
      <c r="S26" s="71">
        <f>USL</f>
        <v>5.5E-2</v>
      </c>
      <c r="T26" s="71">
        <f>USL</f>
        <v>5.5E-2</v>
      </c>
      <c r="U26" s="71">
        <f>USL</f>
        <v>5.5E-2</v>
      </c>
      <c r="V26" s="71">
        <f>USL</f>
        <v>5.5E-2</v>
      </c>
      <c r="W26" s="119"/>
    </row>
    <row r="27" spans="2:27" x14ac:dyDescent="0.25">
      <c r="B27" s="63">
        <v>18</v>
      </c>
      <c r="C27" s="60" t="str">
        <f ca="1">IFERROR(INDEX(INDIRECT("_"&amp;C$9),MATCH($B27&amp;PASSFAIL!C$85,UID,0)),"")</f>
        <v/>
      </c>
      <c r="D27" s="60" t="str">
        <f ca="1">IFERROR(INDEX(INDIRECT("_"&amp;D$9),MATCH($B27&amp;PASSFAIL!D$85,UID,0)),"")</f>
        <v/>
      </c>
      <c r="E27" s="60" t="str">
        <f ca="1">IFERROR(INDEX(INDIRECT("_"&amp;E$9),MATCH($B27&amp;PASSFAIL!E$85,UID,0)),"")</f>
        <v/>
      </c>
      <c r="F27" s="60" t="str">
        <f ca="1">IFERROR(INDEX(INDIRECT("_"&amp;F$9),MATCH($B27&amp;PASSFAIL!F$85,UID,0)),"")</f>
        <v/>
      </c>
      <c r="G27" s="60" t="str">
        <f ca="1">IFERROR(INDEX(INDIRECT("_"&amp;G$9),MATCH($B27&amp;PASSFAIL!G$85,UID,0)),"")</f>
        <v/>
      </c>
      <c r="H27" s="61" t="str">
        <f ca="1">IF(PASSFAIL!H24="","",IF(PASSFAIL!H24=5,"PASS","FAIL"))</f>
        <v/>
      </c>
      <c r="I27" s="63">
        <v>58</v>
      </c>
      <c r="J27" s="60" t="str">
        <f ca="1">IFERROR(INDEX(INDIRECT("_"&amp;J$9),MATCH($I27&amp;PASSFAIL!C$85,UID,0)),"")</f>
        <v/>
      </c>
      <c r="K27" s="60" t="str">
        <f ca="1">IFERROR(INDEX(INDIRECT("_"&amp;K$9),MATCH($I27&amp;PASSFAIL!D$85,UID,0)),"")</f>
        <v/>
      </c>
      <c r="L27" s="60" t="str">
        <f ca="1">IFERROR(INDEX(INDIRECT("_"&amp;L$9),MATCH($I27&amp;PASSFAIL!E$85,UID,0)),"")</f>
        <v/>
      </c>
      <c r="M27" s="60" t="str">
        <f ca="1">IFERROR(INDEX(INDIRECT("_"&amp;M$9),MATCH($I27&amp;PASSFAIL!F$85,UID,0)),"")</f>
        <v/>
      </c>
      <c r="N27" s="60" t="str">
        <f ca="1">IFERROR(INDEX(INDIRECT("_"&amp;N$9),MATCH($I27&amp;PASSFAIL!G$85,UID,0)),"")</f>
        <v/>
      </c>
      <c r="O27" s="62" t="str">
        <f ca="1">IF(PASSFAIL!H64="","",IF(PASSFAIL!H64=5,"PASS","FAIL"))</f>
        <v/>
      </c>
      <c r="Q27" s="46" t="s">
        <v>15</v>
      </c>
      <c r="R27" s="71">
        <f>LSL</f>
        <v>4.4999999999999998E-2</v>
      </c>
      <c r="S27" s="71">
        <f>LSL</f>
        <v>4.4999999999999998E-2</v>
      </c>
      <c r="T27" s="71">
        <f>LSL</f>
        <v>4.4999999999999998E-2</v>
      </c>
      <c r="U27" s="71">
        <f>LSL</f>
        <v>4.4999999999999998E-2</v>
      </c>
      <c r="V27" s="71">
        <f>LSL</f>
        <v>4.4999999999999998E-2</v>
      </c>
      <c r="W27" s="120"/>
    </row>
    <row r="28" spans="2:27" x14ac:dyDescent="0.25">
      <c r="B28" s="63">
        <v>19</v>
      </c>
      <c r="C28" s="60" t="str">
        <f ca="1">IFERROR(INDEX(INDIRECT("_"&amp;C$9),MATCH($B28&amp;PASSFAIL!C$85,UID,0)),"")</f>
        <v/>
      </c>
      <c r="D28" s="60" t="str">
        <f ca="1">IFERROR(INDEX(INDIRECT("_"&amp;D$9),MATCH($B28&amp;PASSFAIL!D$85,UID,0)),"")</f>
        <v/>
      </c>
      <c r="E28" s="60" t="str">
        <f ca="1">IFERROR(INDEX(INDIRECT("_"&amp;E$9),MATCH($B28&amp;PASSFAIL!E$85,UID,0)),"")</f>
        <v/>
      </c>
      <c r="F28" s="60" t="str">
        <f ca="1">IFERROR(INDEX(INDIRECT("_"&amp;F$9),MATCH($B28&amp;PASSFAIL!F$85,UID,0)),"")</f>
        <v/>
      </c>
      <c r="G28" s="60" t="str">
        <f ca="1">IFERROR(INDEX(INDIRECT("_"&amp;G$9),MATCH($B28&amp;PASSFAIL!G$85,UID,0)),"")</f>
        <v/>
      </c>
      <c r="H28" s="61" t="str">
        <f ca="1">IF(PASSFAIL!H25="","",IF(PASSFAIL!H25=5,"PASS","FAIL"))</f>
        <v/>
      </c>
      <c r="I28" s="59">
        <v>59</v>
      </c>
      <c r="J28" s="60" t="str">
        <f ca="1">IFERROR(INDEX(INDIRECT("_"&amp;J$9),MATCH($I28&amp;PASSFAIL!C$85,UID,0)),"")</f>
        <v/>
      </c>
      <c r="K28" s="60" t="str">
        <f ca="1">IFERROR(INDEX(INDIRECT("_"&amp;K$9),MATCH($I28&amp;PASSFAIL!D$85,UID,0)),"")</f>
        <v/>
      </c>
      <c r="L28" s="60" t="str">
        <f ca="1">IFERROR(INDEX(INDIRECT("_"&amp;L$9),MATCH($I28&amp;PASSFAIL!E$85,UID,0)),"")</f>
        <v/>
      </c>
      <c r="M28" s="60" t="str">
        <f ca="1">IFERROR(INDEX(INDIRECT("_"&amp;M$9),MATCH($I28&amp;PASSFAIL!F$85,UID,0)),"")</f>
        <v/>
      </c>
      <c r="N28" s="60" t="str">
        <f ca="1">IFERROR(INDEX(INDIRECT("_"&amp;N$9),MATCH($I28&amp;PASSFAIL!G$85,UID,0)),"")</f>
        <v/>
      </c>
      <c r="O28" s="62" t="str">
        <f ca="1">IF(PASSFAIL!H65="","",IF(PASSFAIL!H65=5,"PASS","FAIL"))</f>
        <v/>
      </c>
    </row>
    <row r="29" spans="2:27" x14ac:dyDescent="0.25">
      <c r="B29" s="63">
        <v>20</v>
      </c>
      <c r="C29" s="60" t="str">
        <f ca="1">IFERROR(INDEX(INDIRECT("_"&amp;C$9),MATCH($B29&amp;PASSFAIL!C$85,UID,0)),"")</f>
        <v/>
      </c>
      <c r="D29" s="60" t="str">
        <f ca="1">IFERROR(INDEX(INDIRECT("_"&amp;D$9),MATCH($B29&amp;PASSFAIL!D$85,UID,0)),"")</f>
        <v/>
      </c>
      <c r="E29" s="60" t="str">
        <f ca="1">IFERROR(INDEX(INDIRECT("_"&amp;E$9),MATCH($B29&amp;PASSFAIL!E$85,UID,0)),"")</f>
        <v/>
      </c>
      <c r="F29" s="60" t="str">
        <f ca="1">IFERROR(INDEX(INDIRECT("_"&amp;F$9),MATCH($B29&amp;PASSFAIL!F$85,UID,0)),"")</f>
        <v/>
      </c>
      <c r="G29" s="60" t="str">
        <f ca="1">IFERROR(INDEX(INDIRECT("_"&amp;G$9),MATCH($B29&amp;PASSFAIL!G$85,UID,0)),"")</f>
        <v/>
      </c>
      <c r="H29" s="61" t="str">
        <f ca="1">IF(PASSFAIL!H26="","",IF(PASSFAIL!H26=5,"PASS","FAIL"))</f>
        <v/>
      </c>
      <c r="I29" s="63">
        <v>60</v>
      </c>
      <c r="J29" s="60" t="str">
        <f ca="1">IFERROR(INDEX(INDIRECT("_"&amp;J$9),MATCH($I29&amp;PASSFAIL!C$85,UID,0)),"")</f>
        <v/>
      </c>
      <c r="K29" s="60" t="str">
        <f ca="1">IFERROR(INDEX(INDIRECT("_"&amp;K$9),MATCH($I29&amp;PASSFAIL!D$85,UID,0)),"")</f>
        <v/>
      </c>
      <c r="L29" s="60" t="str">
        <f ca="1">IFERROR(INDEX(INDIRECT("_"&amp;L$9),MATCH($I29&amp;PASSFAIL!E$85,UID,0)),"")</f>
        <v/>
      </c>
      <c r="M29" s="60" t="str">
        <f ca="1">IFERROR(INDEX(INDIRECT("_"&amp;M$9),MATCH($I29&amp;PASSFAIL!F$85,UID,0)),"")</f>
        <v/>
      </c>
      <c r="N29" s="60" t="str">
        <f ca="1">IFERROR(INDEX(INDIRECT("_"&amp;N$9),MATCH($I29&amp;PASSFAIL!G$85,UID,0)),"")</f>
        <v/>
      </c>
      <c r="O29" s="62" t="str">
        <f ca="1">IF(PASSFAIL!H66="","",IF(PASSFAIL!H66=5,"PASS","FAIL"))</f>
        <v/>
      </c>
    </row>
    <row r="30" spans="2:27" x14ac:dyDescent="0.25">
      <c r="B30" s="63">
        <v>21</v>
      </c>
      <c r="C30" s="60" t="str">
        <f ca="1">IFERROR(INDEX(INDIRECT("_"&amp;C$9),MATCH($B30&amp;PASSFAIL!C$85,UID,0)),"")</f>
        <v/>
      </c>
      <c r="D30" s="60" t="str">
        <f ca="1">IFERROR(INDEX(INDIRECT("_"&amp;D$9),MATCH($B30&amp;PASSFAIL!D$85,UID,0)),"")</f>
        <v/>
      </c>
      <c r="E30" s="60" t="str">
        <f ca="1">IFERROR(INDEX(INDIRECT("_"&amp;E$9),MATCH($B30&amp;PASSFAIL!E$85,UID,0)),"")</f>
        <v/>
      </c>
      <c r="F30" s="60" t="str">
        <f ca="1">IFERROR(INDEX(INDIRECT("_"&amp;F$9),MATCH($B30&amp;PASSFAIL!F$85,UID,0)),"")</f>
        <v/>
      </c>
      <c r="G30" s="60" t="str">
        <f ca="1">IFERROR(INDEX(INDIRECT("_"&amp;G$9),MATCH($B30&amp;PASSFAIL!G$85,UID,0)),"")</f>
        <v/>
      </c>
      <c r="H30" s="61" t="str">
        <f ca="1">IF(PASSFAIL!H27="","",IF(PASSFAIL!H27=5,"PASS","FAIL"))</f>
        <v/>
      </c>
      <c r="I30" s="59">
        <v>61</v>
      </c>
      <c r="J30" s="60" t="str">
        <f ca="1">IFERROR(INDEX(INDIRECT("_"&amp;J$9),MATCH($I30&amp;PASSFAIL!C$85,UID,0)),"")</f>
        <v/>
      </c>
      <c r="K30" s="60" t="str">
        <f ca="1">IFERROR(INDEX(INDIRECT("_"&amp;K$9),MATCH($I30&amp;PASSFAIL!D$85,UID,0)),"")</f>
        <v/>
      </c>
      <c r="L30" s="60" t="str">
        <f ca="1">IFERROR(INDEX(INDIRECT("_"&amp;L$9),MATCH($I30&amp;PASSFAIL!E$85,UID,0)),"")</f>
        <v/>
      </c>
      <c r="M30" s="60" t="str">
        <f ca="1">IFERROR(INDEX(INDIRECT("_"&amp;M$9),MATCH($I30&amp;PASSFAIL!F$85,UID,0)),"")</f>
        <v/>
      </c>
      <c r="N30" s="60" t="str">
        <f ca="1">IFERROR(INDEX(INDIRECT("_"&amp;N$9),MATCH($I30&amp;PASSFAIL!G$85,UID,0)),"")</f>
        <v/>
      </c>
      <c r="O30" s="62" t="str">
        <f ca="1">IF(PASSFAIL!H67="","",IF(PASSFAIL!H67=5,"PASS","FAIL"))</f>
        <v/>
      </c>
    </row>
    <row r="31" spans="2:27" x14ac:dyDescent="0.25">
      <c r="B31" s="63">
        <v>22</v>
      </c>
      <c r="C31" s="60" t="str">
        <f ca="1">IFERROR(INDEX(INDIRECT("_"&amp;C$9),MATCH($B31&amp;PASSFAIL!C$85,UID,0)),"")</f>
        <v/>
      </c>
      <c r="D31" s="60" t="str">
        <f ca="1">IFERROR(INDEX(INDIRECT("_"&amp;D$9),MATCH($B31&amp;PASSFAIL!D$85,UID,0)),"")</f>
        <v/>
      </c>
      <c r="E31" s="60" t="str">
        <f ca="1">IFERROR(INDEX(INDIRECT("_"&amp;E$9),MATCH($B31&amp;PASSFAIL!E$85,UID,0)),"")</f>
        <v/>
      </c>
      <c r="F31" s="60" t="str">
        <f ca="1">IFERROR(INDEX(INDIRECT("_"&amp;F$9),MATCH($B31&amp;PASSFAIL!F$85,UID,0)),"")</f>
        <v/>
      </c>
      <c r="G31" s="60" t="str">
        <f ca="1">IFERROR(INDEX(INDIRECT("_"&amp;G$9),MATCH($B31&amp;PASSFAIL!G$85,UID,0)),"")</f>
        <v/>
      </c>
      <c r="H31" s="61" t="str">
        <f ca="1">IF(PASSFAIL!H28="","",IF(PASSFAIL!H28=5,"PASS","FAIL"))</f>
        <v/>
      </c>
      <c r="I31" s="63">
        <v>62</v>
      </c>
      <c r="J31" s="60" t="str">
        <f ca="1">IFERROR(INDEX(INDIRECT("_"&amp;J$9),MATCH($I31&amp;PASSFAIL!C$85,UID,0)),"")</f>
        <v/>
      </c>
      <c r="K31" s="60" t="str">
        <f ca="1">IFERROR(INDEX(INDIRECT("_"&amp;K$9),MATCH($I31&amp;PASSFAIL!D$85,UID,0)),"")</f>
        <v/>
      </c>
      <c r="L31" s="60" t="str">
        <f ca="1">IFERROR(INDEX(INDIRECT("_"&amp;L$9),MATCH($I31&amp;PASSFAIL!E$85,UID,0)),"")</f>
        <v/>
      </c>
      <c r="M31" s="60" t="str">
        <f ca="1">IFERROR(INDEX(INDIRECT("_"&amp;M$9),MATCH($I31&amp;PASSFAIL!F$85,UID,0)),"")</f>
        <v/>
      </c>
      <c r="N31" s="60" t="str">
        <f ca="1">IFERROR(INDEX(INDIRECT("_"&amp;N$9),MATCH($I31&amp;PASSFAIL!G$85,UID,0)),"")</f>
        <v/>
      </c>
      <c r="O31" s="62" t="str">
        <f ca="1">IF(PASSFAIL!H68="","",IF(PASSFAIL!H68=5,"PASS","FAIL"))</f>
        <v/>
      </c>
    </row>
    <row r="32" spans="2:27" x14ac:dyDescent="0.25">
      <c r="B32" s="63">
        <v>23</v>
      </c>
      <c r="C32" s="60" t="str">
        <f ca="1">IFERROR(INDEX(INDIRECT("_"&amp;C$9),MATCH($B32&amp;PASSFAIL!C$85,UID,0)),"")</f>
        <v/>
      </c>
      <c r="D32" s="60" t="str">
        <f ca="1">IFERROR(INDEX(INDIRECT("_"&amp;D$9),MATCH($B32&amp;PASSFAIL!D$85,UID,0)),"")</f>
        <v/>
      </c>
      <c r="E32" s="60" t="str">
        <f ca="1">IFERROR(INDEX(INDIRECT("_"&amp;E$9),MATCH($B32&amp;PASSFAIL!E$85,UID,0)),"")</f>
        <v/>
      </c>
      <c r="F32" s="60" t="str">
        <f ca="1">IFERROR(INDEX(INDIRECT("_"&amp;F$9),MATCH($B32&amp;PASSFAIL!F$85,UID,0)),"")</f>
        <v/>
      </c>
      <c r="G32" s="60" t="str">
        <f ca="1">IFERROR(INDEX(INDIRECT("_"&amp;G$9),MATCH($B32&amp;PASSFAIL!G$85,UID,0)),"")</f>
        <v/>
      </c>
      <c r="H32" s="61" t="str">
        <f ca="1">IF(PASSFAIL!H29="","",IF(PASSFAIL!H29=5,"PASS","FAIL"))</f>
        <v/>
      </c>
      <c r="I32" s="59">
        <v>63</v>
      </c>
      <c r="J32" s="60" t="str">
        <f ca="1">IFERROR(INDEX(INDIRECT("_"&amp;J$9),MATCH($I32&amp;PASSFAIL!C$85,UID,0)),"")</f>
        <v/>
      </c>
      <c r="K32" s="60" t="str">
        <f ca="1">IFERROR(INDEX(INDIRECT("_"&amp;K$9),MATCH($I32&amp;PASSFAIL!D$85,UID,0)),"")</f>
        <v/>
      </c>
      <c r="L32" s="60" t="str">
        <f ca="1">IFERROR(INDEX(INDIRECT("_"&amp;L$9),MATCH($I32&amp;PASSFAIL!E$85,UID,0)),"")</f>
        <v/>
      </c>
      <c r="M32" s="60" t="str">
        <f ca="1">IFERROR(INDEX(INDIRECT("_"&amp;M$9),MATCH($I32&amp;PASSFAIL!F$85,UID,0)),"")</f>
        <v/>
      </c>
      <c r="N32" s="60" t="str">
        <f ca="1">IFERROR(INDEX(INDIRECT("_"&amp;N$9),MATCH($I32&amp;PASSFAIL!G$85,UID,0)),"")</f>
        <v/>
      </c>
      <c r="O32" s="62" t="str">
        <f ca="1">IF(PASSFAIL!H69="","",IF(PASSFAIL!H69=5,"PASS","FAIL"))</f>
        <v/>
      </c>
    </row>
    <row r="33" spans="2:15" x14ac:dyDescent="0.25">
      <c r="B33" s="63">
        <v>24</v>
      </c>
      <c r="C33" s="60" t="str">
        <f ca="1">IFERROR(INDEX(INDIRECT("_"&amp;C$9),MATCH($B33&amp;PASSFAIL!C$85,UID,0)),"")</f>
        <v/>
      </c>
      <c r="D33" s="60" t="str">
        <f ca="1">IFERROR(INDEX(INDIRECT("_"&amp;D$9),MATCH($B33&amp;PASSFAIL!D$85,UID,0)),"")</f>
        <v/>
      </c>
      <c r="E33" s="60" t="str">
        <f ca="1">IFERROR(INDEX(INDIRECT("_"&amp;E$9),MATCH($B33&amp;PASSFAIL!E$85,UID,0)),"")</f>
        <v/>
      </c>
      <c r="F33" s="60" t="str">
        <f ca="1">IFERROR(INDEX(INDIRECT("_"&amp;F$9),MATCH($B33&amp;PASSFAIL!F$85,UID,0)),"")</f>
        <v/>
      </c>
      <c r="G33" s="60" t="str">
        <f ca="1">IFERROR(INDEX(INDIRECT("_"&amp;G$9),MATCH($B33&amp;PASSFAIL!G$85,UID,0)),"")</f>
        <v/>
      </c>
      <c r="H33" s="61" t="str">
        <f ca="1">IF(PASSFAIL!H30="","",IF(PASSFAIL!H30=5,"PASS","FAIL"))</f>
        <v/>
      </c>
      <c r="I33" s="63">
        <v>64</v>
      </c>
      <c r="J33" s="60" t="str">
        <f ca="1">IFERROR(INDEX(INDIRECT("_"&amp;J$9),MATCH($I33&amp;PASSFAIL!C$85,UID,0)),"")</f>
        <v/>
      </c>
      <c r="K33" s="60" t="str">
        <f ca="1">IFERROR(INDEX(INDIRECT("_"&amp;K$9),MATCH($I33&amp;PASSFAIL!D$85,UID,0)),"")</f>
        <v/>
      </c>
      <c r="L33" s="60" t="str">
        <f ca="1">IFERROR(INDEX(INDIRECT("_"&amp;L$9),MATCH($I33&amp;PASSFAIL!E$85,UID,0)),"")</f>
        <v/>
      </c>
      <c r="M33" s="60" t="str">
        <f ca="1">IFERROR(INDEX(INDIRECT("_"&amp;M$9),MATCH($I33&amp;PASSFAIL!F$85,UID,0)),"")</f>
        <v/>
      </c>
      <c r="N33" s="60" t="str">
        <f ca="1">IFERROR(INDEX(INDIRECT("_"&amp;N$9),MATCH($I33&amp;PASSFAIL!G$85,UID,0)),"")</f>
        <v/>
      </c>
      <c r="O33" s="62" t="str">
        <f ca="1">IF(PASSFAIL!H70="","",IF(PASSFAIL!H70=5,"PASS","FAIL"))</f>
        <v/>
      </c>
    </row>
    <row r="34" spans="2:15" x14ac:dyDescent="0.25">
      <c r="B34" s="63">
        <v>25</v>
      </c>
      <c r="C34" s="60" t="str">
        <f ca="1">IFERROR(INDEX(INDIRECT("_"&amp;C$9),MATCH($B34&amp;PASSFAIL!C$85,UID,0)),"")</f>
        <v/>
      </c>
      <c r="D34" s="60" t="str">
        <f ca="1">IFERROR(INDEX(INDIRECT("_"&amp;D$9),MATCH($B34&amp;PASSFAIL!D$85,UID,0)),"")</f>
        <v/>
      </c>
      <c r="E34" s="60" t="str">
        <f ca="1">IFERROR(INDEX(INDIRECT("_"&amp;E$9),MATCH($B34&amp;PASSFAIL!E$85,UID,0)),"")</f>
        <v/>
      </c>
      <c r="F34" s="60" t="str">
        <f ca="1">IFERROR(INDEX(INDIRECT("_"&amp;F$9),MATCH($B34&amp;PASSFAIL!F$85,UID,0)),"")</f>
        <v/>
      </c>
      <c r="G34" s="60" t="str">
        <f ca="1">IFERROR(INDEX(INDIRECT("_"&amp;G$9),MATCH($B34&amp;PASSFAIL!G$85,UID,0)),"")</f>
        <v/>
      </c>
      <c r="H34" s="61" t="str">
        <f ca="1">IF(PASSFAIL!H31="","",IF(PASSFAIL!H31=5,"PASS","FAIL"))</f>
        <v/>
      </c>
      <c r="I34" s="59">
        <v>65</v>
      </c>
      <c r="J34" s="60" t="str">
        <f ca="1">IFERROR(INDEX(INDIRECT("_"&amp;J$9),MATCH($I34&amp;PASSFAIL!C$85,UID,0)),"")</f>
        <v/>
      </c>
      <c r="K34" s="60" t="str">
        <f ca="1">IFERROR(INDEX(INDIRECT("_"&amp;K$9),MATCH($I34&amp;PASSFAIL!D$85,UID,0)),"")</f>
        <v/>
      </c>
      <c r="L34" s="60" t="str">
        <f ca="1">IFERROR(INDEX(INDIRECT("_"&amp;L$9),MATCH($I34&amp;PASSFAIL!E$85,UID,0)),"")</f>
        <v/>
      </c>
      <c r="M34" s="60" t="str">
        <f ca="1">IFERROR(INDEX(INDIRECT("_"&amp;M$9),MATCH($I34&amp;PASSFAIL!F$85,UID,0)),"")</f>
        <v/>
      </c>
      <c r="N34" s="60" t="str">
        <f ca="1">IFERROR(INDEX(INDIRECT("_"&amp;N$9),MATCH($I34&amp;PASSFAIL!G$85,UID,0)),"")</f>
        <v/>
      </c>
      <c r="O34" s="62" t="str">
        <f ca="1">IF(PASSFAIL!H71="","",IF(PASSFAIL!H71=5,"PASS","FAIL"))</f>
        <v/>
      </c>
    </row>
    <row r="35" spans="2:15" x14ac:dyDescent="0.25">
      <c r="B35" s="63">
        <v>26</v>
      </c>
      <c r="C35" s="60" t="str">
        <f ca="1">IFERROR(INDEX(INDIRECT("_"&amp;C$9),MATCH($B35&amp;PASSFAIL!C$85,UID,0)),"")</f>
        <v/>
      </c>
      <c r="D35" s="60" t="str">
        <f ca="1">IFERROR(INDEX(INDIRECT("_"&amp;D$9),MATCH($B35&amp;PASSFAIL!D$85,UID,0)),"")</f>
        <v/>
      </c>
      <c r="E35" s="60" t="str">
        <f ca="1">IFERROR(INDEX(INDIRECT("_"&amp;E$9),MATCH($B35&amp;PASSFAIL!E$85,UID,0)),"")</f>
        <v/>
      </c>
      <c r="F35" s="60" t="str">
        <f ca="1">IFERROR(INDEX(INDIRECT("_"&amp;F$9),MATCH($B35&amp;PASSFAIL!F$85,UID,0)),"")</f>
        <v/>
      </c>
      <c r="G35" s="60" t="str">
        <f ca="1">IFERROR(INDEX(INDIRECT("_"&amp;G$9),MATCH($B35&amp;PASSFAIL!G$85,UID,0)),"")</f>
        <v/>
      </c>
      <c r="H35" s="61" t="str">
        <f ca="1">IF(PASSFAIL!H32="","",IF(PASSFAIL!H32=5,"PASS","FAIL"))</f>
        <v/>
      </c>
      <c r="I35" s="63">
        <v>66</v>
      </c>
      <c r="J35" s="60" t="str">
        <f ca="1">IFERROR(INDEX(INDIRECT("_"&amp;J$9),MATCH($I35&amp;PASSFAIL!C$85,UID,0)),"")</f>
        <v/>
      </c>
      <c r="K35" s="60" t="str">
        <f ca="1">IFERROR(INDEX(INDIRECT("_"&amp;K$9),MATCH($I35&amp;PASSFAIL!D$85,UID,0)),"")</f>
        <v/>
      </c>
      <c r="L35" s="60" t="str">
        <f ca="1">IFERROR(INDEX(INDIRECT("_"&amp;L$9),MATCH($I35&amp;PASSFAIL!E$85,UID,0)),"")</f>
        <v/>
      </c>
      <c r="M35" s="60" t="str">
        <f ca="1">IFERROR(INDEX(INDIRECT("_"&amp;M$9),MATCH($I35&amp;PASSFAIL!F$85,UID,0)),"")</f>
        <v/>
      </c>
      <c r="N35" s="60" t="str">
        <f ca="1">IFERROR(INDEX(INDIRECT("_"&amp;N$9),MATCH($I35&amp;PASSFAIL!G$85,UID,0)),"")</f>
        <v/>
      </c>
      <c r="O35" s="62" t="str">
        <f ca="1">IF(PASSFAIL!H72="","",IF(PASSFAIL!H72=5,"PASS","FAIL"))</f>
        <v/>
      </c>
    </row>
    <row r="36" spans="2:15" x14ac:dyDescent="0.25">
      <c r="B36" s="63">
        <v>27</v>
      </c>
      <c r="C36" s="60" t="str">
        <f ca="1">IFERROR(INDEX(INDIRECT("_"&amp;C$9),MATCH($B36&amp;PASSFAIL!C$85,UID,0)),"")</f>
        <v/>
      </c>
      <c r="D36" s="60" t="str">
        <f ca="1">IFERROR(INDEX(INDIRECT("_"&amp;D$9),MATCH($B36&amp;PASSFAIL!D$85,UID,0)),"")</f>
        <v/>
      </c>
      <c r="E36" s="60" t="str">
        <f ca="1">IFERROR(INDEX(INDIRECT("_"&amp;E$9),MATCH($B36&amp;PASSFAIL!E$85,UID,0)),"")</f>
        <v/>
      </c>
      <c r="F36" s="60" t="str">
        <f ca="1">IFERROR(INDEX(INDIRECT("_"&amp;F$9),MATCH($B36&amp;PASSFAIL!F$85,UID,0)),"")</f>
        <v/>
      </c>
      <c r="G36" s="60" t="str">
        <f ca="1">IFERROR(INDEX(INDIRECT("_"&amp;G$9),MATCH($B36&amp;PASSFAIL!G$85,UID,0)),"")</f>
        <v/>
      </c>
      <c r="H36" s="61" t="str">
        <f ca="1">IF(PASSFAIL!H33="","",IF(PASSFAIL!H33=5,"PASS","FAIL"))</f>
        <v/>
      </c>
      <c r="I36" s="59">
        <v>67</v>
      </c>
      <c r="J36" s="60" t="str">
        <f ca="1">IFERROR(INDEX(INDIRECT("_"&amp;J$9),MATCH($I36&amp;PASSFAIL!C$85,UID,0)),"")</f>
        <v/>
      </c>
      <c r="K36" s="60" t="str">
        <f ca="1">IFERROR(INDEX(INDIRECT("_"&amp;K$9),MATCH($I36&amp;PASSFAIL!D$85,UID,0)),"")</f>
        <v/>
      </c>
      <c r="L36" s="60" t="str">
        <f ca="1">IFERROR(INDEX(INDIRECT("_"&amp;L$9),MATCH($I36&amp;PASSFAIL!E$85,UID,0)),"")</f>
        <v/>
      </c>
      <c r="M36" s="60" t="str">
        <f ca="1">IFERROR(INDEX(INDIRECT("_"&amp;M$9),MATCH($I36&amp;PASSFAIL!F$85,UID,0)),"")</f>
        <v/>
      </c>
      <c r="N36" s="60" t="str">
        <f ca="1">IFERROR(INDEX(INDIRECT("_"&amp;N$9),MATCH($I36&amp;PASSFAIL!G$85,UID,0)),"")</f>
        <v/>
      </c>
      <c r="O36" s="62" t="str">
        <f ca="1">IF(PASSFAIL!H73="","",IF(PASSFAIL!H73=5,"PASS","FAIL"))</f>
        <v/>
      </c>
    </row>
    <row r="37" spans="2:15" x14ac:dyDescent="0.25">
      <c r="B37" s="63">
        <v>28</v>
      </c>
      <c r="C37" s="60" t="str">
        <f ca="1">IFERROR(INDEX(INDIRECT("_"&amp;C$9),MATCH($B37&amp;PASSFAIL!C$85,UID,0)),"")</f>
        <v/>
      </c>
      <c r="D37" s="60" t="str">
        <f ca="1">IFERROR(INDEX(INDIRECT("_"&amp;D$9),MATCH($B37&amp;PASSFAIL!D$85,UID,0)),"")</f>
        <v/>
      </c>
      <c r="E37" s="60" t="str">
        <f ca="1">IFERROR(INDEX(INDIRECT("_"&amp;E$9),MATCH($B37&amp;PASSFAIL!E$85,UID,0)),"")</f>
        <v/>
      </c>
      <c r="F37" s="60" t="str">
        <f ca="1">IFERROR(INDEX(INDIRECT("_"&amp;F$9),MATCH($B37&amp;PASSFAIL!F$85,UID,0)),"")</f>
        <v/>
      </c>
      <c r="G37" s="60" t="str">
        <f ca="1">IFERROR(INDEX(INDIRECT("_"&amp;G$9),MATCH($B37&amp;PASSFAIL!G$85,UID,0)),"")</f>
        <v/>
      </c>
      <c r="H37" s="61" t="str">
        <f ca="1">IF(PASSFAIL!H34="","",IF(PASSFAIL!H34=5,"PASS","FAIL"))</f>
        <v/>
      </c>
      <c r="I37" s="63">
        <v>68</v>
      </c>
      <c r="J37" s="60" t="str">
        <f ca="1">IFERROR(INDEX(INDIRECT("_"&amp;J$9),MATCH($I37&amp;PASSFAIL!C$85,UID,0)),"")</f>
        <v/>
      </c>
      <c r="K37" s="60" t="str">
        <f ca="1">IFERROR(INDEX(INDIRECT("_"&amp;K$9),MATCH($I37&amp;PASSFAIL!D$85,UID,0)),"")</f>
        <v/>
      </c>
      <c r="L37" s="60" t="str">
        <f ca="1">IFERROR(INDEX(INDIRECT("_"&amp;L$9),MATCH($I37&amp;PASSFAIL!E$85,UID,0)),"")</f>
        <v/>
      </c>
      <c r="M37" s="60" t="str">
        <f ca="1">IFERROR(INDEX(INDIRECT("_"&amp;M$9),MATCH($I37&amp;PASSFAIL!F$85,UID,0)),"")</f>
        <v/>
      </c>
      <c r="N37" s="60" t="str">
        <f ca="1">IFERROR(INDEX(INDIRECT("_"&amp;N$9),MATCH($I37&amp;PASSFAIL!G$85,UID,0)),"")</f>
        <v/>
      </c>
      <c r="O37" s="62" t="str">
        <f ca="1">IF(PASSFAIL!H74="","",IF(PASSFAIL!H74=5,"PASS","FAIL"))</f>
        <v/>
      </c>
    </row>
    <row r="38" spans="2:15" x14ac:dyDescent="0.25">
      <c r="B38" s="63">
        <v>29</v>
      </c>
      <c r="C38" s="60" t="str">
        <f ca="1">IFERROR(INDEX(INDIRECT("_"&amp;C$9),MATCH($B38&amp;PASSFAIL!C$85,UID,0)),"")</f>
        <v/>
      </c>
      <c r="D38" s="60" t="str">
        <f ca="1">IFERROR(INDEX(INDIRECT("_"&amp;D$9),MATCH($B38&amp;PASSFAIL!D$85,UID,0)),"")</f>
        <v/>
      </c>
      <c r="E38" s="60" t="str">
        <f ca="1">IFERROR(INDEX(INDIRECT("_"&amp;E$9),MATCH($B38&amp;PASSFAIL!E$85,UID,0)),"")</f>
        <v/>
      </c>
      <c r="F38" s="60" t="str">
        <f ca="1">IFERROR(INDEX(INDIRECT("_"&amp;F$9),MATCH($B38&amp;PASSFAIL!F$85,UID,0)),"")</f>
        <v/>
      </c>
      <c r="G38" s="60" t="str">
        <f ca="1">IFERROR(INDEX(INDIRECT("_"&amp;G$9),MATCH($B38&amp;PASSFAIL!G$85,UID,0)),"")</f>
        <v/>
      </c>
      <c r="H38" s="61" t="str">
        <f ca="1">IF(PASSFAIL!H35="","",IF(PASSFAIL!H35=5,"PASS","FAIL"))</f>
        <v/>
      </c>
      <c r="I38" s="59">
        <v>69</v>
      </c>
      <c r="J38" s="60" t="str">
        <f ca="1">IFERROR(INDEX(INDIRECT("_"&amp;J$9),MATCH($I38&amp;PASSFAIL!C$85,UID,0)),"")</f>
        <v/>
      </c>
      <c r="K38" s="60" t="str">
        <f ca="1">IFERROR(INDEX(INDIRECT("_"&amp;K$9),MATCH($I38&amp;PASSFAIL!D$85,UID,0)),"")</f>
        <v/>
      </c>
      <c r="L38" s="60" t="str">
        <f ca="1">IFERROR(INDEX(INDIRECT("_"&amp;L$9),MATCH($I38&amp;PASSFAIL!E$85,UID,0)),"")</f>
        <v/>
      </c>
      <c r="M38" s="60" t="str">
        <f ca="1">IFERROR(INDEX(INDIRECT("_"&amp;M$9),MATCH($I38&amp;PASSFAIL!F$85,UID,0)),"")</f>
        <v/>
      </c>
      <c r="N38" s="60" t="str">
        <f ca="1">IFERROR(INDEX(INDIRECT("_"&amp;N$9),MATCH($I38&amp;PASSFAIL!G$85,UID,0)),"")</f>
        <v/>
      </c>
      <c r="O38" s="62" t="str">
        <f ca="1">IF(PASSFAIL!H75="","",IF(PASSFAIL!H75=5,"PASS","FAIL"))</f>
        <v/>
      </c>
    </row>
    <row r="39" spans="2:15" x14ac:dyDescent="0.25">
      <c r="B39" s="63">
        <v>30</v>
      </c>
      <c r="C39" s="60" t="str">
        <f ca="1">IFERROR(INDEX(INDIRECT("_"&amp;C$9),MATCH($B39&amp;PASSFAIL!C$85,UID,0)),"")</f>
        <v/>
      </c>
      <c r="D39" s="60" t="str">
        <f ca="1">IFERROR(INDEX(INDIRECT("_"&amp;D$9),MATCH($B39&amp;PASSFAIL!D$85,UID,0)),"")</f>
        <v/>
      </c>
      <c r="E39" s="60" t="str">
        <f ca="1">IFERROR(INDEX(INDIRECT("_"&amp;E$9),MATCH($B39&amp;PASSFAIL!E$85,UID,0)),"")</f>
        <v/>
      </c>
      <c r="F39" s="60" t="str">
        <f ca="1">IFERROR(INDEX(INDIRECT("_"&amp;F$9),MATCH($B39&amp;PASSFAIL!F$85,UID,0)),"")</f>
        <v/>
      </c>
      <c r="G39" s="60" t="str">
        <f ca="1">IFERROR(INDEX(INDIRECT("_"&amp;G$9),MATCH($B39&amp;PASSFAIL!G$85,UID,0)),"")</f>
        <v/>
      </c>
      <c r="H39" s="61" t="str">
        <f ca="1">IF(PASSFAIL!H36="","",IF(PASSFAIL!H36=5,"PASS","FAIL"))</f>
        <v/>
      </c>
      <c r="I39" s="63">
        <v>70</v>
      </c>
      <c r="J39" s="60" t="str">
        <f ca="1">IFERROR(INDEX(INDIRECT("_"&amp;J$9),MATCH($I39&amp;PASSFAIL!C$85,UID,0)),"")</f>
        <v/>
      </c>
      <c r="K39" s="60" t="str">
        <f ca="1">IFERROR(INDEX(INDIRECT("_"&amp;K$9),MATCH($I39&amp;PASSFAIL!D$85,UID,0)),"")</f>
        <v/>
      </c>
      <c r="L39" s="60" t="str">
        <f ca="1">IFERROR(INDEX(INDIRECT("_"&amp;L$9),MATCH($I39&amp;PASSFAIL!E$85,UID,0)),"")</f>
        <v/>
      </c>
      <c r="M39" s="60" t="str">
        <f ca="1">IFERROR(INDEX(INDIRECT("_"&amp;M$9),MATCH($I39&amp;PASSFAIL!F$85,UID,0)),"")</f>
        <v/>
      </c>
      <c r="N39" s="60" t="str">
        <f ca="1">IFERROR(INDEX(INDIRECT("_"&amp;N$9),MATCH($I39&amp;PASSFAIL!G$85,UID,0)),"")</f>
        <v/>
      </c>
      <c r="O39" s="62" t="str">
        <f ca="1">IF(PASSFAIL!H76="","",IF(PASSFAIL!H76=5,"PASS","FAIL"))</f>
        <v/>
      </c>
    </row>
    <row r="40" spans="2:15" x14ac:dyDescent="0.25">
      <c r="B40" s="63">
        <v>31</v>
      </c>
      <c r="C40" s="60" t="str">
        <f ca="1">IFERROR(INDEX(INDIRECT("_"&amp;C$9),MATCH($B40&amp;PASSFAIL!C$85,UID,0)),"")</f>
        <v/>
      </c>
      <c r="D40" s="60" t="str">
        <f ca="1">IFERROR(INDEX(INDIRECT("_"&amp;D$9),MATCH($B40&amp;PASSFAIL!D$85,UID,0)),"")</f>
        <v/>
      </c>
      <c r="E40" s="60" t="str">
        <f ca="1">IFERROR(INDEX(INDIRECT("_"&amp;E$9),MATCH($B40&amp;PASSFAIL!E$85,UID,0)),"")</f>
        <v/>
      </c>
      <c r="F40" s="60" t="str">
        <f ca="1">IFERROR(INDEX(INDIRECT("_"&amp;F$9),MATCH($B40&amp;PASSFAIL!F$85,UID,0)),"")</f>
        <v/>
      </c>
      <c r="G40" s="60" t="str">
        <f ca="1">IFERROR(INDEX(INDIRECT("_"&amp;G$9),MATCH($B40&amp;PASSFAIL!G$85,UID,0)),"")</f>
        <v/>
      </c>
      <c r="H40" s="61" t="str">
        <f ca="1">IF(PASSFAIL!H37="","",IF(PASSFAIL!H37=5,"PASS","FAIL"))</f>
        <v/>
      </c>
      <c r="I40" s="59">
        <v>71</v>
      </c>
      <c r="J40" s="60" t="str">
        <f ca="1">IFERROR(INDEX(INDIRECT("_"&amp;J$9),MATCH($I40&amp;PASSFAIL!C$85,UID,0)),"")</f>
        <v/>
      </c>
      <c r="K40" s="60" t="str">
        <f ca="1">IFERROR(INDEX(INDIRECT("_"&amp;K$9),MATCH($I40&amp;PASSFAIL!D$85,UID,0)),"")</f>
        <v/>
      </c>
      <c r="L40" s="60" t="str">
        <f ca="1">IFERROR(INDEX(INDIRECT("_"&amp;L$9),MATCH($I40&amp;PASSFAIL!E$85,UID,0)),"")</f>
        <v/>
      </c>
      <c r="M40" s="60" t="str">
        <f ca="1">IFERROR(INDEX(INDIRECT("_"&amp;M$9),MATCH($I40&amp;PASSFAIL!F$85,UID,0)),"")</f>
        <v/>
      </c>
      <c r="N40" s="60" t="str">
        <f ca="1">IFERROR(INDEX(INDIRECT("_"&amp;N$9),MATCH($I40&amp;PASSFAIL!G$85,UID,0)),"")</f>
        <v/>
      </c>
      <c r="O40" s="62" t="str">
        <f ca="1">IF(PASSFAIL!H77="","",IF(PASSFAIL!H77=5,"PASS","FAIL"))</f>
        <v/>
      </c>
    </row>
    <row r="41" spans="2:15" x14ac:dyDescent="0.25">
      <c r="B41" s="63">
        <v>32</v>
      </c>
      <c r="C41" s="60" t="str">
        <f ca="1">IFERROR(INDEX(INDIRECT("_"&amp;C$9),MATCH($B41&amp;PASSFAIL!C$85,UID,0)),"")</f>
        <v/>
      </c>
      <c r="D41" s="60" t="str">
        <f ca="1">IFERROR(INDEX(INDIRECT("_"&amp;D$9),MATCH($B41&amp;PASSFAIL!D$85,UID,0)),"")</f>
        <v/>
      </c>
      <c r="E41" s="60" t="str">
        <f ca="1">IFERROR(INDEX(INDIRECT("_"&amp;E$9),MATCH($B41&amp;PASSFAIL!E$85,UID,0)),"")</f>
        <v/>
      </c>
      <c r="F41" s="60" t="str">
        <f ca="1">IFERROR(INDEX(INDIRECT("_"&amp;F$9),MATCH($B41&amp;PASSFAIL!F$85,UID,0)),"")</f>
        <v/>
      </c>
      <c r="G41" s="60" t="str">
        <f ca="1">IFERROR(INDEX(INDIRECT("_"&amp;G$9),MATCH($B41&amp;PASSFAIL!G$85,UID,0)),"")</f>
        <v/>
      </c>
      <c r="H41" s="61" t="str">
        <f ca="1">IF(PASSFAIL!H38="","",IF(PASSFAIL!H38=5,"PASS","FAIL"))</f>
        <v/>
      </c>
      <c r="I41" s="63">
        <v>72</v>
      </c>
      <c r="J41" s="60" t="str">
        <f ca="1">IFERROR(INDEX(INDIRECT("_"&amp;J$9),MATCH($I41&amp;PASSFAIL!C$85,UID,0)),"")</f>
        <v/>
      </c>
      <c r="K41" s="60" t="str">
        <f ca="1">IFERROR(INDEX(INDIRECT("_"&amp;K$9),MATCH($I41&amp;PASSFAIL!D$85,UID,0)),"")</f>
        <v/>
      </c>
      <c r="L41" s="60" t="str">
        <f ca="1">IFERROR(INDEX(INDIRECT("_"&amp;L$9),MATCH($I41&amp;PASSFAIL!E$85,UID,0)),"")</f>
        <v/>
      </c>
      <c r="M41" s="60" t="str">
        <f ca="1">IFERROR(INDEX(INDIRECT("_"&amp;M$9),MATCH($I41&amp;PASSFAIL!F$85,UID,0)),"")</f>
        <v/>
      </c>
      <c r="N41" s="60" t="str">
        <f ca="1">IFERROR(INDEX(INDIRECT("_"&amp;N$9),MATCH($I41&amp;PASSFAIL!G$85,UID,0)),"")</f>
        <v/>
      </c>
      <c r="O41" s="62" t="str">
        <f ca="1">IF(PASSFAIL!H78="","",IF(PASSFAIL!H78=5,"PASS","FAIL"))</f>
        <v/>
      </c>
    </row>
    <row r="42" spans="2:15" x14ac:dyDescent="0.25">
      <c r="B42" s="63">
        <v>33</v>
      </c>
      <c r="C42" s="60" t="str">
        <f ca="1">IFERROR(INDEX(INDIRECT("_"&amp;C$9),MATCH($B42&amp;PASSFAIL!C$85,UID,0)),"")</f>
        <v/>
      </c>
      <c r="D42" s="60" t="str">
        <f ca="1">IFERROR(INDEX(INDIRECT("_"&amp;D$9),MATCH($B42&amp;PASSFAIL!D$85,UID,0)),"")</f>
        <v/>
      </c>
      <c r="E42" s="60" t="str">
        <f ca="1">IFERROR(INDEX(INDIRECT("_"&amp;E$9),MATCH($B42&amp;PASSFAIL!E$85,UID,0)),"")</f>
        <v/>
      </c>
      <c r="F42" s="60" t="str">
        <f ca="1">IFERROR(INDEX(INDIRECT("_"&amp;F$9),MATCH($B42&amp;PASSFAIL!F$85,UID,0)),"")</f>
        <v/>
      </c>
      <c r="G42" s="60" t="str">
        <f ca="1">IFERROR(INDEX(INDIRECT("_"&amp;G$9),MATCH($B42&amp;PASSFAIL!G$85,UID,0)),"")</f>
        <v/>
      </c>
      <c r="H42" s="61" t="str">
        <f ca="1">IF(PASSFAIL!H39="","",IF(PASSFAIL!H39=5,"PASS","FAIL"))</f>
        <v/>
      </c>
      <c r="I42" s="59">
        <v>73</v>
      </c>
      <c r="J42" s="60" t="str">
        <f ca="1">IFERROR(INDEX(INDIRECT("_"&amp;J$9),MATCH($I42&amp;PASSFAIL!C$85,UID,0)),"")</f>
        <v/>
      </c>
      <c r="K42" s="60" t="str">
        <f ca="1">IFERROR(INDEX(INDIRECT("_"&amp;K$9),MATCH($I42&amp;PASSFAIL!D$85,UID,0)),"")</f>
        <v/>
      </c>
      <c r="L42" s="60" t="str">
        <f ca="1">IFERROR(INDEX(INDIRECT("_"&amp;L$9),MATCH($I42&amp;PASSFAIL!E$85,UID,0)),"")</f>
        <v/>
      </c>
      <c r="M42" s="60" t="str">
        <f ca="1">IFERROR(INDEX(INDIRECT("_"&amp;M$9),MATCH($I42&amp;PASSFAIL!F$85,UID,0)),"")</f>
        <v/>
      </c>
      <c r="N42" s="60" t="str">
        <f ca="1">IFERROR(INDEX(INDIRECT("_"&amp;N$9),MATCH($I42&amp;PASSFAIL!G$85,UID,0)),"")</f>
        <v/>
      </c>
      <c r="O42" s="62" t="str">
        <f ca="1">IF(PASSFAIL!H79="","",IF(PASSFAIL!H79=5,"PASS","FAIL"))</f>
        <v/>
      </c>
    </row>
    <row r="43" spans="2:15" x14ac:dyDescent="0.25">
      <c r="B43" s="63">
        <v>34</v>
      </c>
      <c r="C43" s="60" t="str">
        <f ca="1">IFERROR(INDEX(INDIRECT("_"&amp;C$9),MATCH($B43&amp;PASSFAIL!C$85,UID,0)),"")</f>
        <v/>
      </c>
      <c r="D43" s="60" t="str">
        <f ca="1">IFERROR(INDEX(INDIRECT("_"&amp;D$9),MATCH($B43&amp;PASSFAIL!D$85,UID,0)),"")</f>
        <v/>
      </c>
      <c r="E43" s="60" t="str">
        <f ca="1">IFERROR(INDEX(INDIRECT("_"&amp;E$9),MATCH($B43&amp;PASSFAIL!E$85,UID,0)),"")</f>
        <v/>
      </c>
      <c r="F43" s="60" t="str">
        <f ca="1">IFERROR(INDEX(INDIRECT("_"&amp;F$9),MATCH($B43&amp;PASSFAIL!F$85,UID,0)),"")</f>
        <v/>
      </c>
      <c r="G43" s="60" t="str">
        <f ca="1">IFERROR(INDEX(INDIRECT("_"&amp;G$9),MATCH($B43&amp;PASSFAIL!G$85,UID,0)),"")</f>
        <v/>
      </c>
      <c r="H43" s="61" t="str">
        <f ca="1">IF(PASSFAIL!H40="","",IF(PASSFAIL!H40=5,"PASS","FAIL"))</f>
        <v/>
      </c>
      <c r="I43" s="63">
        <v>74</v>
      </c>
      <c r="J43" s="60" t="str">
        <f ca="1">IFERROR(INDEX(INDIRECT("_"&amp;J$9),MATCH($I43&amp;PASSFAIL!C$85,UID,0)),"")</f>
        <v/>
      </c>
      <c r="K43" s="60" t="str">
        <f ca="1">IFERROR(INDEX(INDIRECT("_"&amp;K$9),MATCH($I43&amp;PASSFAIL!D$85,UID,0)),"")</f>
        <v/>
      </c>
      <c r="L43" s="60" t="str">
        <f ca="1">IFERROR(INDEX(INDIRECT("_"&amp;L$9),MATCH($I43&amp;PASSFAIL!E$85,UID,0)),"")</f>
        <v/>
      </c>
      <c r="M43" s="60" t="str">
        <f ca="1">IFERROR(INDEX(INDIRECT("_"&amp;M$9),MATCH($I43&amp;PASSFAIL!F$85,UID,0)),"")</f>
        <v/>
      </c>
      <c r="N43" s="60" t="str">
        <f ca="1">IFERROR(INDEX(INDIRECT("_"&amp;N$9),MATCH($I43&amp;PASSFAIL!G$85,UID,0)),"")</f>
        <v/>
      </c>
      <c r="O43" s="62" t="str">
        <f ca="1">IF(PASSFAIL!H80="","",IF(PASSFAIL!H80=5,"PASS","FAIL"))</f>
        <v/>
      </c>
    </row>
    <row r="44" spans="2:15" ht="15.75" thickBot="1" x14ac:dyDescent="0.3">
      <c r="B44" s="63">
        <v>35</v>
      </c>
      <c r="C44" s="60" t="str">
        <f ca="1">IFERROR(INDEX(INDIRECT("_"&amp;C$9),MATCH($B44&amp;PASSFAIL!C$85,UID,0)),"")</f>
        <v/>
      </c>
      <c r="D44" s="60" t="str">
        <f ca="1">IFERROR(INDEX(INDIRECT("_"&amp;D$9),MATCH($B44&amp;PASSFAIL!D$85,UID,0)),"")</f>
        <v/>
      </c>
      <c r="E44" s="60" t="str">
        <f ca="1">IFERROR(INDEX(INDIRECT("_"&amp;E$9),MATCH($B44&amp;PASSFAIL!E$85,UID,0)),"")</f>
        <v/>
      </c>
      <c r="F44" s="60" t="str">
        <f ca="1">IFERROR(INDEX(INDIRECT("_"&amp;F$9),MATCH($B44&amp;PASSFAIL!F$85,UID,0)),"")</f>
        <v/>
      </c>
      <c r="G44" s="60" t="str">
        <f ca="1">IFERROR(INDEX(INDIRECT("_"&amp;G$9),MATCH($B44&amp;PASSFAIL!G$85,UID,0)),"")</f>
        <v/>
      </c>
      <c r="H44" s="61" t="str">
        <f ca="1">IF(PASSFAIL!H41="","",IF(PASSFAIL!H41=5,"PASS","FAIL"))</f>
        <v/>
      </c>
      <c r="I44" s="106">
        <v>75</v>
      </c>
      <c r="J44" s="107" t="str">
        <f ca="1">IFERROR(INDEX(INDIRECT("_"&amp;J$9),MATCH($I44&amp;PASSFAIL!C$85,UID,0)),"")</f>
        <v/>
      </c>
      <c r="K44" s="107" t="str">
        <f ca="1">IFERROR(INDEX(INDIRECT("_"&amp;K$9),MATCH($I44&amp;PASSFAIL!D$85,UID,0)),"")</f>
        <v/>
      </c>
      <c r="L44" s="107" t="str">
        <f ca="1">IFERROR(INDEX(INDIRECT("_"&amp;L$9),MATCH($I44&amp;PASSFAIL!E$85,UID,0)),"")</f>
        <v/>
      </c>
      <c r="M44" s="107" t="str">
        <f ca="1">IFERROR(INDEX(INDIRECT("_"&amp;M$9),MATCH($I44&amp;PASSFAIL!F$85,UID,0)),"")</f>
        <v/>
      </c>
      <c r="N44" s="107" t="str">
        <f ca="1">IFERROR(INDEX(INDIRECT("_"&amp;N$9),MATCH($I44&amp;PASSFAIL!G$85,UID,0)),"")</f>
        <v/>
      </c>
      <c r="O44" s="108" t="str">
        <f ca="1">IF(PASSFAIL!H81="","",IF(PASSFAIL!H81=5,"PASS","FAIL"))</f>
        <v/>
      </c>
    </row>
    <row r="45" spans="2:15" x14ac:dyDescent="0.25">
      <c r="B45" s="63">
        <v>36</v>
      </c>
      <c r="C45" s="60" t="str">
        <f ca="1">IFERROR(INDEX(INDIRECT("_"&amp;C$9),MATCH($B45&amp;PASSFAIL!C$85,UID,0)),"")</f>
        <v/>
      </c>
      <c r="D45" s="60" t="str">
        <f ca="1">IFERROR(INDEX(INDIRECT("_"&amp;D$9),MATCH($B45&amp;PASSFAIL!D$85,UID,0)),"")</f>
        <v/>
      </c>
      <c r="E45" s="60" t="str">
        <f ca="1">IFERROR(INDEX(INDIRECT("_"&amp;E$9),MATCH($B45&amp;PASSFAIL!E$85,UID,0)),"")</f>
        <v/>
      </c>
      <c r="F45" s="60" t="str">
        <f ca="1">IFERROR(INDEX(INDIRECT("_"&amp;F$9),MATCH($B45&amp;PASSFAIL!F$85,UID,0)),"")</f>
        <v/>
      </c>
      <c r="G45" s="60" t="str">
        <f ca="1">IFERROR(INDEX(INDIRECT("_"&amp;G$9),MATCH($B45&amp;PASSFAIL!G$85,UID,0)),"")</f>
        <v/>
      </c>
      <c r="H45" s="61" t="str">
        <f ca="1">IF(PASSFAIL!H42="","",IF(PASSFAIL!H42=5,"PASS","FAIL"))</f>
        <v/>
      </c>
      <c r="I45" s="112"/>
      <c r="J45" s="113"/>
      <c r="K45" s="113"/>
      <c r="L45" s="113"/>
      <c r="M45" s="113"/>
      <c r="N45" s="113"/>
      <c r="O45" s="114"/>
    </row>
    <row r="46" spans="2:15" x14ac:dyDescent="0.25">
      <c r="B46" s="63">
        <v>37</v>
      </c>
      <c r="C46" s="60" t="str">
        <f ca="1">IFERROR(INDEX(INDIRECT("_"&amp;C$9),MATCH($B46&amp;PASSFAIL!C$85,UID,0)),"")</f>
        <v/>
      </c>
      <c r="D46" s="60" t="str">
        <f ca="1">IFERROR(INDEX(INDIRECT("_"&amp;D$9),MATCH($B46&amp;PASSFAIL!D$85,UID,0)),"")</f>
        <v/>
      </c>
      <c r="E46" s="60" t="str">
        <f ca="1">IFERROR(INDEX(INDIRECT("_"&amp;E$9),MATCH($B46&amp;PASSFAIL!E$85,UID,0)),"")</f>
        <v/>
      </c>
      <c r="F46" s="60" t="str">
        <f ca="1">IFERROR(INDEX(INDIRECT("_"&amp;F$9),MATCH($B46&amp;PASSFAIL!F$85,UID,0)),"")</f>
        <v/>
      </c>
      <c r="G46" s="60" t="str">
        <f ca="1">IFERROR(INDEX(INDIRECT("_"&amp;G$9),MATCH($B46&amp;PASSFAIL!G$85,UID,0)),"")</f>
        <v/>
      </c>
      <c r="H46" s="61" t="str">
        <f ca="1">IF(PASSFAIL!H43="","",IF(PASSFAIL!H43=5,"PASS","FAIL"))</f>
        <v/>
      </c>
      <c r="I46" s="112"/>
      <c r="J46" s="113"/>
      <c r="K46" s="113"/>
      <c r="L46" s="113"/>
      <c r="M46" s="113"/>
      <c r="N46" s="113"/>
      <c r="O46" s="114"/>
    </row>
    <row r="47" spans="2:15" x14ac:dyDescent="0.25">
      <c r="B47" s="63">
        <v>38</v>
      </c>
      <c r="C47" s="60" t="str">
        <f ca="1">IFERROR(INDEX(INDIRECT("_"&amp;C$9),MATCH($B47&amp;PASSFAIL!C$85,UID,0)),"")</f>
        <v/>
      </c>
      <c r="D47" s="60" t="str">
        <f ca="1">IFERROR(INDEX(INDIRECT("_"&amp;D$9),MATCH($B47&amp;PASSFAIL!D$85,UID,0)),"")</f>
        <v/>
      </c>
      <c r="E47" s="60" t="str">
        <f ca="1">IFERROR(INDEX(INDIRECT("_"&amp;E$9),MATCH($B47&amp;PASSFAIL!E$85,UID,0)),"")</f>
        <v/>
      </c>
      <c r="F47" s="60" t="str">
        <f ca="1">IFERROR(INDEX(INDIRECT("_"&amp;F$9),MATCH($B47&amp;PASSFAIL!F$85,UID,0)),"")</f>
        <v/>
      </c>
      <c r="G47" s="60" t="str">
        <f ca="1">IFERROR(INDEX(INDIRECT("_"&amp;G$9),MATCH($B47&amp;PASSFAIL!G$85,UID,0)),"")</f>
        <v/>
      </c>
      <c r="H47" s="61" t="str">
        <f ca="1">IF(PASSFAIL!H44="","",IF(PASSFAIL!H44=5,"PASS","FAIL"))</f>
        <v/>
      </c>
      <c r="I47" s="112"/>
      <c r="J47" s="113"/>
      <c r="K47" s="113"/>
      <c r="L47" s="113"/>
      <c r="M47" s="113"/>
      <c r="N47" s="113"/>
      <c r="O47" s="114"/>
    </row>
    <row r="48" spans="2:15" x14ac:dyDescent="0.25">
      <c r="B48" s="63">
        <v>39</v>
      </c>
      <c r="C48" s="60" t="str">
        <f ca="1">IFERROR(INDEX(INDIRECT("_"&amp;C$9),MATCH($B48&amp;PASSFAIL!C$85,UID,0)),"")</f>
        <v/>
      </c>
      <c r="D48" s="60" t="str">
        <f ca="1">IFERROR(INDEX(INDIRECT("_"&amp;D$9),MATCH($B48&amp;PASSFAIL!D$85,UID,0)),"")</f>
        <v/>
      </c>
      <c r="E48" s="60" t="str">
        <f ca="1">IFERROR(INDEX(INDIRECT("_"&amp;E$9),MATCH($B48&amp;PASSFAIL!E$85,UID,0)),"")</f>
        <v/>
      </c>
      <c r="F48" s="60" t="str">
        <f ca="1">IFERROR(INDEX(INDIRECT("_"&amp;F$9),MATCH($B48&amp;PASSFAIL!F$85,UID,0)),"")</f>
        <v/>
      </c>
      <c r="G48" s="60" t="str">
        <f ca="1">IFERROR(INDEX(INDIRECT("_"&amp;G$9),MATCH($B48&amp;PASSFAIL!G$85,UID,0)),"")</f>
        <v/>
      </c>
      <c r="H48" s="61" t="str">
        <f ca="1">IF(PASSFAIL!H45="","",IF(PASSFAIL!H45=5,"PASS","FAIL"))</f>
        <v/>
      </c>
      <c r="I48" s="112"/>
      <c r="J48" s="113"/>
      <c r="K48" s="113"/>
      <c r="L48" s="113"/>
      <c r="M48" s="113"/>
      <c r="N48" s="113"/>
      <c r="O48" s="114"/>
    </row>
    <row r="49" spans="2:15" ht="15.75" thickBot="1" x14ac:dyDescent="0.3">
      <c r="B49" s="63">
        <v>40</v>
      </c>
      <c r="C49" s="60" t="str">
        <f ca="1">IFERROR(INDEX(INDIRECT("_"&amp;C$9),MATCH($B49&amp;PASSFAIL!C$85,UID,0)),"")</f>
        <v/>
      </c>
      <c r="D49" s="60" t="str">
        <f ca="1">IFERROR(INDEX(INDIRECT("_"&amp;D$9),MATCH($B49&amp;PASSFAIL!D$85,UID,0)),"")</f>
        <v/>
      </c>
      <c r="E49" s="60" t="str">
        <f ca="1">IFERROR(INDEX(INDIRECT("_"&amp;E$9),MATCH($B49&amp;PASSFAIL!E$85,UID,0)),"")</f>
        <v/>
      </c>
      <c r="F49" s="60" t="str">
        <f ca="1">IFERROR(INDEX(INDIRECT("_"&amp;F$9),MATCH($B49&amp;PASSFAIL!F$85,UID,0)),"")</f>
        <v/>
      </c>
      <c r="G49" s="60" t="str">
        <f ca="1">IFERROR(INDEX(INDIRECT("_"&amp;G$9),MATCH($B49&amp;PASSFAIL!G$85,UID,0)),"")</f>
        <v/>
      </c>
      <c r="H49" s="61" t="str">
        <f ca="1">IF(PASSFAIL!H46="","",IF(PASSFAIL!H46=5,"PASS","FAIL"))</f>
        <v/>
      </c>
      <c r="I49" s="115"/>
      <c r="J49" s="116"/>
      <c r="K49" s="116"/>
      <c r="L49" s="116"/>
      <c r="M49" s="116"/>
      <c r="N49" s="116"/>
      <c r="O49" s="117"/>
    </row>
    <row r="50" spans="2:15" ht="18" customHeight="1" x14ac:dyDescent="0.25">
      <c r="B50" s="128" t="s">
        <v>11</v>
      </c>
      <c r="C50" s="129"/>
      <c r="D50" s="129"/>
      <c r="E50" s="129"/>
      <c r="F50" s="129"/>
      <c r="G50" s="129"/>
      <c r="H50" s="145"/>
      <c r="I50" s="140" t="s">
        <v>13</v>
      </c>
      <c r="J50" s="141"/>
      <c r="K50" s="141"/>
      <c r="L50" s="130"/>
      <c r="M50" s="130"/>
      <c r="N50" s="130"/>
      <c r="O50" s="131"/>
    </row>
    <row r="51" spans="2:15" ht="18" customHeight="1" thickBot="1" x14ac:dyDescent="0.3">
      <c r="B51" s="132" t="s">
        <v>12</v>
      </c>
      <c r="C51" s="133"/>
      <c r="D51" s="133"/>
      <c r="E51" s="133"/>
      <c r="F51" s="133"/>
      <c r="G51" s="133"/>
      <c r="H51" s="144"/>
      <c r="I51" s="142" t="s">
        <v>13</v>
      </c>
      <c r="J51" s="143"/>
      <c r="K51" s="143"/>
      <c r="L51" s="133"/>
      <c r="M51" s="133"/>
      <c r="N51" s="133"/>
      <c r="O51" s="144"/>
    </row>
    <row r="53" spans="2:15" x14ac:dyDescent="0.25">
      <c r="I53" s="76"/>
      <c r="J53" s="77"/>
      <c r="K53" s="77"/>
      <c r="L53" s="77"/>
      <c r="M53" s="77"/>
      <c r="N53" s="77"/>
      <c r="O53" s="78"/>
    </row>
    <row r="54" spans="2:15" x14ac:dyDescent="0.25">
      <c r="I54" s="79"/>
      <c r="J54" s="80"/>
      <c r="K54" s="80"/>
      <c r="L54" s="80"/>
      <c r="M54" s="80"/>
      <c r="N54" s="80"/>
      <c r="O54" s="118"/>
    </row>
    <row r="55" spans="2:15" x14ac:dyDescent="0.25">
      <c r="I55" s="81"/>
      <c r="J55" s="82"/>
      <c r="K55" s="82"/>
      <c r="L55" s="82"/>
      <c r="M55" s="82"/>
      <c r="N55" s="82"/>
      <c r="O55" s="118"/>
    </row>
    <row r="56" spans="2:15" x14ac:dyDescent="0.25">
      <c r="I56" s="81"/>
      <c r="J56" s="82"/>
      <c r="K56" s="82"/>
      <c r="L56" s="82"/>
      <c r="M56" s="82"/>
      <c r="N56" s="82"/>
      <c r="O56" s="118"/>
    </row>
    <row r="57" spans="2:15" x14ac:dyDescent="0.25">
      <c r="I57" s="44"/>
      <c r="J57" s="83"/>
      <c r="K57" s="83"/>
      <c r="L57" s="83"/>
      <c r="M57" s="83"/>
      <c r="N57" s="83"/>
      <c r="O57" s="118"/>
    </row>
    <row r="58" spans="2:15" x14ac:dyDescent="0.25">
      <c r="I58" s="44"/>
      <c r="J58" s="83"/>
      <c r="K58" s="83"/>
      <c r="L58" s="83"/>
      <c r="M58" s="83"/>
      <c r="N58" s="83"/>
      <c r="O58" s="118"/>
    </row>
  </sheetData>
  <mergeCells count="22">
    <mergeCell ref="J3:K3"/>
    <mergeCell ref="N3:O3"/>
    <mergeCell ref="B50:D50"/>
    <mergeCell ref="L50:O50"/>
    <mergeCell ref="B51:D51"/>
    <mergeCell ref="B5:E5"/>
    <mergeCell ref="B6:E6"/>
    <mergeCell ref="B7:E7"/>
    <mergeCell ref="I50:K50"/>
    <mergeCell ref="I51:K51"/>
    <mergeCell ref="L51:O51"/>
    <mergeCell ref="E50:H50"/>
    <mergeCell ref="E51:H51"/>
    <mergeCell ref="F5:H5"/>
    <mergeCell ref="F6:H6"/>
    <mergeCell ref="F7:H7"/>
    <mergeCell ref="J5:K5"/>
    <mergeCell ref="I45:O49"/>
    <mergeCell ref="O54:O58"/>
    <mergeCell ref="W23:W27"/>
    <mergeCell ref="J7:K7"/>
    <mergeCell ref="J6:K6"/>
  </mergeCells>
  <conditionalFormatting sqref="J10:N44 C10:G51">
    <cfRule type="cellIs" dxfId="48" priority="8" operator="greaterThan">
      <formula>$O$6</formula>
    </cfRule>
    <cfRule type="cellIs" dxfId="47" priority="9" operator="lessThan">
      <formula>$O$5</formula>
    </cfRule>
    <cfRule type="cellIs" dxfId="46" priority="10" operator="greaterThan">
      <formula>$O$6</formula>
    </cfRule>
  </conditionalFormatting>
  <conditionalFormatting sqref="H10:H51 O10:O44">
    <cfRule type="containsText" dxfId="45" priority="1" operator="containsText" text="PASS">
      <formula>NOT(ISERROR(SEARCH("PASS",H10)))</formula>
    </cfRule>
    <cfRule type="containsText" dxfId="44" priority="2" operator="containsText" text="FAIL">
      <formula>NOT(ISERROR(SEARCH("FAIL",H10)))</formula>
    </cfRule>
  </conditionalFormatting>
  <pageMargins left="0.7" right="0.7" top="1" bottom="0.75" header="0.3" footer="0.3"/>
  <pageSetup scale="8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ransformData">
                <anchor moveWithCells="1">
                  <from>
                    <xdr:col>24</xdr:col>
                    <xdr:colOff>114300</xdr:colOff>
                    <xdr:row>7</xdr:row>
                    <xdr:rowOff>104775</xdr:rowOff>
                  </from>
                  <to>
                    <xdr:col>25</xdr:col>
                    <xdr:colOff>542925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RawData" altText="Clear Raw Data_x000a_">
                <anchor moveWithCells="1">
                  <from>
                    <xdr:col>24</xdr:col>
                    <xdr:colOff>95250</xdr:colOff>
                    <xdr:row>4</xdr:row>
                    <xdr:rowOff>66675</xdr:rowOff>
                  </from>
                  <to>
                    <xdr:col>25</xdr:col>
                    <xdr:colOff>504825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Print_Report">
                <anchor moveWithCells="1">
                  <from>
                    <xdr:col>24</xdr:col>
                    <xdr:colOff>123825</xdr:colOff>
                    <xdr:row>10</xdr:row>
                    <xdr:rowOff>76200</xdr:rowOff>
                  </from>
                  <to>
                    <xdr:col>25</xdr:col>
                    <xdr:colOff>495300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41CD-7A34-403F-9110-88160CC7B61B}">
  <sheetPr codeName="Sheet5"/>
  <dimension ref="B2:D5"/>
  <sheetViews>
    <sheetView workbookViewId="0">
      <selection activeCell="D5" sqref="D5"/>
    </sheetView>
  </sheetViews>
  <sheetFormatPr defaultRowHeight="15" x14ac:dyDescent="0.25"/>
  <cols>
    <col min="2" max="2" width="20.5703125" bestFit="1" customWidth="1"/>
  </cols>
  <sheetData>
    <row r="2" spans="2:4" x14ac:dyDescent="0.25">
      <c r="B2" t="s">
        <v>25</v>
      </c>
      <c r="C2" t="s">
        <v>14</v>
      </c>
      <c r="D2" t="s">
        <v>15</v>
      </c>
    </row>
    <row r="3" spans="2:4" x14ac:dyDescent="0.25">
      <c r="B3" t="s">
        <v>34</v>
      </c>
      <c r="C3">
        <v>5.5E-2</v>
      </c>
      <c r="D3">
        <v>4.4999999999999998E-2</v>
      </c>
    </row>
    <row r="4" spans="2:4" x14ac:dyDescent="0.25">
      <c r="B4" t="s">
        <v>32</v>
      </c>
      <c r="C4">
        <v>5.7000000000000002E-2</v>
      </c>
      <c r="D4">
        <v>0</v>
      </c>
    </row>
    <row r="5" spans="2:4" x14ac:dyDescent="0.25">
      <c r="B5" t="s">
        <v>33</v>
      </c>
      <c r="C5">
        <v>5.7000000000000002E-2</v>
      </c>
      <c r="D5">
        <v>0</v>
      </c>
    </row>
  </sheetData>
  <sheetProtection algorithmName="SHA-512" hashValue="kbmbpa096taW0HhQrTWNevaZbLY1q23Ljiply3XBt9hU4mKd0NlTKw0HIwzGlI02rz1rk6gviBfzocr70Bjokg==" saltValue="n9hltmdAcBPheOOi8geKK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0DD6F-D113-489F-9BFA-B49191CF339B}">
  <sheetPr codeName="Sheet3"/>
  <dimension ref="B1:P85"/>
  <sheetViews>
    <sheetView workbookViewId="0">
      <selection activeCell="L18" sqref="L18"/>
    </sheetView>
  </sheetViews>
  <sheetFormatPr defaultRowHeight="15" x14ac:dyDescent="0.25"/>
  <sheetData>
    <row r="1" spans="2:16" ht="15.75" thickBot="1" x14ac:dyDescent="0.3"/>
    <row r="2" spans="2:16" x14ac:dyDescent="0.25">
      <c r="B2" s="153" t="s">
        <v>8</v>
      </c>
      <c r="C2" s="154"/>
      <c r="D2" s="154"/>
      <c r="E2" s="154"/>
      <c r="F2" s="129" t="str">
        <f>LEFT(Folder,13)</f>
        <v>L08-004637-01</v>
      </c>
      <c r="G2" s="129"/>
      <c r="H2" s="145"/>
      <c r="J2" s="153" t="s">
        <v>8</v>
      </c>
      <c r="K2" s="154"/>
      <c r="L2" s="154"/>
      <c r="M2" s="154"/>
      <c r="N2" s="129" t="str">
        <f>LEFT(Folder,13)</f>
        <v>L08-004637-01</v>
      </c>
      <c r="O2" s="129"/>
      <c r="P2" s="145"/>
    </row>
    <row r="3" spans="2:16" x14ac:dyDescent="0.25">
      <c r="B3" s="155" t="s">
        <v>6</v>
      </c>
      <c r="C3" s="156"/>
      <c r="D3" s="156"/>
      <c r="E3" s="156"/>
      <c r="F3" s="157" t="str">
        <f>'Raw Data'!A2</f>
        <v>3/8/2023</v>
      </c>
      <c r="G3" s="157"/>
      <c r="H3" s="158"/>
      <c r="J3" s="155" t="s">
        <v>6</v>
      </c>
      <c r="K3" s="156"/>
      <c r="L3" s="156"/>
      <c r="M3" s="156"/>
      <c r="N3" s="157" t="str">
        <f>'Raw Data'!A2</f>
        <v>3/8/2023</v>
      </c>
      <c r="O3" s="157"/>
      <c r="P3" s="158"/>
    </row>
    <row r="4" spans="2:16" x14ac:dyDescent="0.25">
      <c r="B4" s="155" t="s">
        <v>9</v>
      </c>
      <c r="C4" s="156"/>
      <c r="D4" s="156"/>
      <c r="E4" s="156"/>
      <c r="F4" s="159" t="str" cm="1">
        <f t="array" ref="F4">IF(LEFT(F2,3)="L02","Meniscus (Hawk)",IFERROR(IF(AB_Value="A", "Anterior (Eagle)","Posterior (Eagle)"),""))</f>
        <v>Anterior (Eagle)</v>
      </c>
      <c r="G4" s="160"/>
      <c r="H4" s="161"/>
      <c r="J4" s="155" t="s">
        <v>9</v>
      </c>
      <c r="K4" s="156"/>
      <c r="L4" s="156"/>
      <c r="M4" s="156"/>
      <c r="N4" s="159" t="str" cm="1">
        <f t="array" ref="N4">IF(LEFT(N2,3)="L02","Meniscus (Hawk)",IFERROR(IF(AB_Value="A", "Anterior (Eagle)","Posterior (Eagle)"),""))</f>
        <v>Anterior (Eagle)</v>
      </c>
      <c r="O4" s="160"/>
      <c r="P4" s="161"/>
    </row>
    <row r="5" spans="2:16" ht="15.75" thickBot="1" x14ac:dyDescent="0.3">
      <c r="B5" s="4"/>
      <c r="C5" s="8"/>
      <c r="D5" s="8"/>
      <c r="E5" s="8"/>
      <c r="F5" s="8"/>
      <c r="G5" s="8"/>
      <c r="H5" s="6"/>
      <c r="J5" s="4"/>
      <c r="K5" s="8"/>
      <c r="L5" s="8"/>
      <c r="M5" s="8"/>
      <c r="N5" s="8"/>
      <c r="O5" s="8"/>
      <c r="P5" s="6"/>
    </row>
    <row r="6" spans="2:16" ht="15.75" thickBot="1" x14ac:dyDescent="0.3">
      <c r="B6" s="11" t="s">
        <v>7</v>
      </c>
      <c r="C6" s="12" t="s">
        <v>0</v>
      </c>
      <c r="D6" s="12" t="s">
        <v>1</v>
      </c>
      <c r="E6" s="12" t="s">
        <v>2</v>
      </c>
      <c r="F6" s="12" t="s">
        <v>3</v>
      </c>
      <c r="G6" s="12" t="s">
        <v>4</v>
      </c>
      <c r="H6" s="13" t="s">
        <v>10</v>
      </c>
      <c r="J6" s="11" t="s">
        <v>7</v>
      </c>
      <c r="K6" s="12" t="s">
        <v>0</v>
      </c>
      <c r="L6" s="12" t="s">
        <v>1</v>
      </c>
      <c r="M6" s="12" t="s">
        <v>2</v>
      </c>
      <c r="N6" s="12" t="s">
        <v>3</v>
      </c>
      <c r="O6" s="12" t="s">
        <v>4</v>
      </c>
      <c r="P6" s="13" t="s">
        <v>10</v>
      </c>
    </row>
    <row r="7" spans="2:16" x14ac:dyDescent="0.25">
      <c r="B7" s="10">
        <v>1</v>
      </c>
      <c r="C7" s="14" t="str">
        <f ca="1">IF(Report!C10="","",IF(OR(Report!C10&lt;LSL,Report!C10&gt;USL),"FAIL","PASS"))</f>
        <v>PASS</v>
      </c>
      <c r="D7" s="14" t="str">
        <f ca="1">IF(Report!D10="","",IF(OR(Report!D10&lt;LSL,Report!D10&gt;USL),"FAIL","PASS"))</f>
        <v>PASS</v>
      </c>
      <c r="E7" s="14" t="str">
        <f ca="1">IF(Report!E10="","",IF(OR(Report!E10&lt;LSL,Report!E10&gt;USL),"FAIL","PASS"))</f>
        <v>PASS</v>
      </c>
      <c r="F7" s="14" t="str">
        <f ca="1">IF(Report!F10="","",IF(OR(Report!F10&lt;LSL,Report!F10&gt;USL),"FAIL","PASS"))</f>
        <v>PASS</v>
      </c>
      <c r="G7" s="14" t="str">
        <f ca="1">IF(Report!G10="","",IF(OR(Report!G10&lt;LSL,Report!G10&gt;USL),"FAIL","PASS"))</f>
        <v>PASS</v>
      </c>
      <c r="H7" s="29">
        <f ca="1">IF(C7="","",COUNTIF(C7:G7,"PASS"))</f>
        <v>5</v>
      </c>
      <c r="J7" s="10">
        <v>1</v>
      </c>
      <c r="K7" s="14">
        <f ca="1">IF(Report!C10="","",Report!C10)</f>
        <v>5.2999999999999999E-2</v>
      </c>
      <c r="L7" s="14">
        <f ca="1">IF(Report!D10="","",Report!D10)</f>
        <v>5.1999999999999998E-2</v>
      </c>
      <c r="M7" s="14">
        <f ca="1">IF(Report!E10="","",Report!E10)</f>
        <v>5.0999999999999997E-2</v>
      </c>
      <c r="N7" s="14">
        <f ca="1">IF(Report!F10="","",Report!F10)</f>
        <v>5.1999999999999998E-2</v>
      </c>
      <c r="O7" s="14">
        <f ca="1">IF(Report!G10="","",Report!G10)</f>
        <v>5.2999999999999999E-2</v>
      </c>
      <c r="P7" s="29">
        <f ca="1">IF(K7="","",COUNTIF(K7:O7,"PASS"))</f>
        <v>0</v>
      </c>
    </row>
    <row r="8" spans="2:16" x14ac:dyDescent="0.25">
      <c r="B8" s="7">
        <v>2</v>
      </c>
      <c r="C8" s="14" t="str">
        <f ca="1">IF(Report!C11="","",IF(OR(Report!C11&lt;LSL,Report!C11&gt;USL),"FAIL","PASS"))</f>
        <v>PASS</v>
      </c>
      <c r="D8" s="14" t="str">
        <f ca="1">IF(Report!D11="","",IF(OR(Report!D11&lt;LSL,Report!D11&gt;USL),"FAIL","PASS"))</f>
        <v>PASS</v>
      </c>
      <c r="E8" s="14" t="str">
        <f ca="1">IF(Report!E11="","",IF(OR(Report!E11&lt;LSL,Report!E11&gt;USL),"FAIL","PASS"))</f>
        <v>PASS</v>
      </c>
      <c r="F8" s="14" t="str">
        <f ca="1">IF(Report!F11="","",IF(OR(Report!F11&lt;LSL,Report!F11&gt;USL),"FAIL","PASS"))</f>
        <v>PASS</v>
      </c>
      <c r="G8" s="14" t="str">
        <f ca="1">IF(Report!G11="","",IF(OR(Report!G11&lt;LSL,Report!G11&gt;USL),"FAIL","PASS"))</f>
        <v>PASS</v>
      </c>
      <c r="H8" s="29">
        <f t="shared" ref="H8:H71" ca="1" si="0">IF(C8="","",COUNTIF(C8:G8,"PASS"))</f>
        <v>5</v>
      </c>
      <c r="J8" s="7">
        <v>2</v>
      </c>
      <c r="K8" s="14">
        <f ca="1">IF(Report!C11="","",Report!C11)</f>
        <v>5.2999999999999999E-2</v>
      </c>
      <c r="L8" s="14">
        <f ca="1">IF(Report!D11="","",Report!D11)</f>
        <v>5.2999999999999999E-2</v>
      </c>
      <c r="M8" s="14">
        <f ca="1">IF(Report!E11="","",Report!E11)</f>
        <v>5.2999999999999999E-2</v>
      </c>
      <c r="N8" s="14">
        <f ca="1">IF(Report!F11="","",Report!F11)</f>
        <v>5.2999999999999999E-2</v>
      </c>
      <c r="O8" s="14">
        <f ca="1">IF(Report!G11="","",Report!G11)</f>
        <v>5.2999999999999999E-2</v>
      </c>
      <c r="P8" s="29">
        <f t="shared" ref="P8:P71" ca="1" si="1">COUNTIF(K8:O8,"FAIL")</f>
        <v>0</v>
      </c>
    </row>
    <row r="9" spans="2:16" x14ac:dyDescent="0.25">
      <c r="B9" s="7">
        <v>3</v>
      </c>
      <c r="C9" s="14" t="str">
        <f ca="1">IF(Report!C12="","",IF(OR(Report!C12&lt;LSL,Report!C12&gt;USL),"FAIL","PASS"))</f>
        <v>PASS</v>
      </c>
      <c r="D9" s="14" t="str">
        <f ca="1">IF(Report!D12="","",IF(OR(Report!D12&lt;LSL,Report!D12&gt;USL),"FAIL","PASS"))</f>
        <v>PASS</v>
      </c>
      <c r="E9" s="14" t="str">
        <f ca="1">IF(Report!E12="","",IF(OR(Report!E12&lt;LSL,Report!E12&gt;USL),"FAIL","PASS"))</f>
        <v>PASS</v>
      </c>
      <c r="F9" s="14" t="str">
        <f ca="1">IF(Report!F12="","",IF(OR(Report!F12&lt;LSL,Report!F12&gt;USL),"FAIL","PASS"))</f>
        <v>PASS</v>
      </c>
      <c r="G9" s="14" t="str">
        <f ca="1">IF(Report!G12="","",IF(OR(Report!G12&lt;LSL,Report!G12&gt;USL),"FAIL","PASS"))</f>
        <v>PASS</v>
      </c>
      <c r="H9" s="29">
        <f t="shared" ca="1" si="0"/>
        <v>5</v>
      </c>
      <c r="J9" s="7">
        <v>3</v>
      </c>
      <c r="K9" s="14">
        <f ca="1">IF(Report!C12="","",Report!C12)</f>
        <v>5.2999999999999999E-2</v>
      </c>
      <c r="L9" s="14">
        <f ca="1">IF(Report!D12="","",Report!D12)</f>
        <v>5.2999999999999999E-2</v>
      </c>
      <c r="M9" s="14">
        <f ca="1">IF(Report!E12="","",Report!E12)</f>
        <v>5.1999999999999998E-2</v>
      </c>
      <c r="N9" s="14">
        <f ca="1">IF(Report!F12="","",Report!F12)</f>
        <v>5.0999999999999997E-2</v>
      </c>
      <c r="O9" s="14">
        <f ca="1">IF(Report!G12="","",Report!G12)</f>
        <v>5.0999999999999997E-2</v>
      </c>
      <c r="P9" s="29">
        <f t="shared" ca="1" si="1"/>
        <v>0</v>
      </c>
    </row>
    <row r="10" spans="2:16" x14ac:dyDescent="0.25">
      <c r="B10" s="7">
        <v>4</v>
      </c>
      <c r="C10" s="14" t="str">
        <f ca="1">IF(Report!C13="","",IF(OR(Report!C13&lt;LSL,Report!C13&gt;USL),"FAIL","PASS"))</f>
        <v>PASS</v>
      </c>
      <c r="D10" s="14" t="str">
        <f ca="1">IF(Report!D13="","",IF(OR(Report!D13&lt;LSL,Report!D13&gt;USL),"FAIL","PASS"))</f>
        <v>PASS</v>
      </c>
      <c r="E10" s="14" t="str">
        <f ca="1">IF(Report!E13="","",IF(OR(Report!E13&lt;LSL,Report!E13&gt;USL),"FAIL","PASS"))</f>
        <v>PASS</v>
      </c>
      <c r="F10" s="14" t="str">
        <f ca="1">IF(Report!F13="","",IF(OR(Report!F13&lt;LSL,Report!F13&gt;USL),"FAIL","PASS"))</f>
        <v>PASS</v>
      </c>
      <c r="G10" s="14" t="str">
        <f ca="1">IF(Report!G13="","",IF(OR(Report!G13&lt;LSL,Report!G13&gt;USL),"FAIL","PASS"))</f>
        <v>PASS</v>
      </c>
      <c r="H10" s="29">
        <f t="shared" ca="1" si="0"/>
        <v>5</v>
      </c>
      <c r="J10" s="7">
        <v>4</v>
      </c>
      <c r="K10" s="14">
        <f ca="1">IF(Report!C13="","",Report!C13)</f>
        <v>5.2999999999999999E-2</v>
      </c>
      <c r="L10" s="14">
        <f ca="1">IF(Report!D13="","",Report!D13)</f>
        <v>5.5E-2</v>
      </c>
      <c r="M10" s="14">
        <f ca="1">IF(Report!E13="","",Report!E13)</f>
        <v>5.3999999999999999E-2</v>
      </c>
      <c r="N10" s="14">
        <f ca="1">IF(Report!F13="","",Report!F13)</f>
        <v>5.3999999999999999E-2</v>
      </c>
      <c r="O10" s="14">
        <f ca="1">IF(Report!G13="","",Report!G13)</f>
        <v>5.3999999999999999E-2</v>
      </c>
      <c r="P10" s="29">
        <f t="shared" ca="1" si="1"/>
        <v>0</v>
      </c>
    </row>
    <row r="11" spans="2:16" x14ac:dyDescent="0.25">
      <c r="B11" s="7">
        <v>5</v>
      </c>
      <c r="C11" s="14" t="str">
        <f ca="1">IF(Report!C14="","",IF(OR(Report!C14&lt;LSL,Report!C14&gt;USL),"FAIL","PASS"))</f>
        <v>PASS</v>
      </c>
      <c r="D11" s="14" t="str">
        <f ca="1">IF(Report!D14="","",IF(OR(Report!D14&lt;LSL,Report!D14&gt;USL),"FAIL","PASS"))</f>
        <v>PASS</v>
      </c>
      <c r="E11" s="14" t="str">
        <f ca="1">IF(Report!E14="","",IF(OR(Report!E14&lt;LSL,Report!E14&gt;USL),"FAIL","PASS"))</f>
        <v>PASS</v>
      </c>
      <c r="F11" s="14" t="str">
        <f ca="1">IF(Report!F14="","",IF(OR(Report!F14&lt;LSL,Report!F14&gt;USL),"FAIL","PASS"))</f>
        <v>PASS</v>
      </c>
      <c r="G11" s="14" t="str">
        <f ca="1">IF(Report!G14="","",IF(OR(Report!G14&lt;LSL,Report!G14&gt;USL),"FAIL","PASS"))</f>
        <v>PASS</v>
      </c>
      <c r="H11" s="29">
        <f t="shared" ca="1" si="0"/>
        <v>5</v>
      </c>
      <c r="J11" s="7">
        <v>5</v>
      </c>
      <c r="K11" s="14">
        <f ca="1">IF(Report!C14="","",Report!C14)</f>
        <v>4.9000000000000002E-2</v>
      </c>
      <c r="L11" s="14">
        <f ca="1">IF(Report!D14="","",Report!D14)</f>
        <v>4.8000000000000001E-2</v>
      </c>
      <c r="M11" s="14">
        <f ca="1">IF(Report!E14="","",Report!E14)</f>
        <v>4.8000000000000001E-2</v>
      </c>
      <c r="N11" s="14">
        <f ca="1">IF(Report!F14="","",Report!F14)</f>
        <v>4.9000000000000002E-2</v>
      </c>
      <c r="O11" s="14">
        <f ca="1">IF(Report!G14="","",Report!G14)</f>
        <v>4.9000000000000002E-2</v>
      </c>
      <c r="P11" s="29">
        <f t="shared" ca="1" si="1"/>
        <v>0</v>
      </c>
    </row>
    <row r="12" spans="2:16" x14ac:dyDescent="0.25">
      <c r="B12" s="7">
        <v>6</v>
      </c>
      <c r="C12" s="14" t="str">
        <f ca="1">IF(Report!C15="","",IF(OR(Report!C15&lt;LSL,Report!C15&gt;USL),"FAIL","PASS"))</f>
        <v>PASS</v>
      </c>
      <c r="D12" s="14" t="str">
        <f ca="1">IF(Report!D15="","",IF(OR(Report!D15&lt;LSL,Report!D15&gt;USL),"FAIL","PASS"))</f>
        <v>PASS</v>
      </c>
      <c r="E12" s="14" t="str">
        <f ca="1">IF(Report!E15="","",IF(OR(Report!E15&lt;LSL,Report!E15&gt;USL),"FAIL","PASS"))</f>
        <v>PASS</v>
      </c>
      <c r="F12" s="14" t="str">
        <f ca="1">IF(Report!F15="","",IF(OR(Report!F15&lt;LSL,Report!F15&gt;USL),"FAIL","PASS"))</f>
        <v>PASS</v>
      </c>
      <c r="G12" s="14" t="str">
        <f ca="1">IF(Report!G15="","",IF(OR(Report!G15&lt;LSL,Report!G15&gt;USL),"FAIL","PASS"))</f>
        <v>PASS</v>
      </c>
      <c r="H12" s="29">
        <f t="shared" ca="1" si="0"/>
        <v>5</v>
      </c>
      <c r="J12" s="7">
        <v>6</v>
      </c>
      <c r="K12" s="14">
        <f ca="1">IF(Report!C15="","",Report!C15)</f>
        <v>5.1999999999999998E-2</v>
      </c>
      <c r="L12" s="14">
        <f ca="1">IF(Report!D15="","",Report!D15)</f>
        <v>5.0999999999999997E-2</v>
      </c>
      <c r="M12" s="14">
        <f ca="1">IF(Report!E15="","",Report!E15)</f>
        <v>5.0999999999999997E-2</v>
      </c>
      <c r="N12" s="14">
        <f ca="1">IF(Report!F15="","",Report!F15)</f>
        <v>5.1999999999999998E-2</v>
      </c>
      <c r="O12" s="14">
        <f ca="1">IF(Report!G15="","",Report!G15)</f>
        <v>5.0999999999999997E-2</v>
      </c>
      <c r="P12" s="29">
        <f t="shared" ca="1" si="1"/>
        <v>0</v>
      </c>
    </row>
    <row r="13" spans="2:16" x14ac:dyDescent="0.25">
      <c r="B13" s="7">
        <v>7</v>
      </c>
      <c r="C13" s="14" t="str">
        <f ca="1">IF(Report!C16="","",IF(OR(Report!C16&lt;LSL,Report!C16&gt;USL),"FAIL","PASS"))</f>
        <v>PASS</v>
      </c>
      <c r="D13" s="14" t="str">
        <f ca="1">IF(Report!D16="","",IF(OR(Report!D16&lt;LSL,Report!D16&gt;USL),"FAIL","PASS"))</f>
        <v>PASS</v>
      </c>
      <c r="E13" s="14" t="str">
        <f ca="1">IF(Report!E16="","",IF(OR(Report!E16&lt;LSL,Report!E16&gt;USL),"FAIL","PASS"))</f>
        <v>PASS</v>
      </c>
      <c r="F13" s="14" t="str">
        <f ca="1">IF(Report!F16="","",IF(OR(Report!F16&lt;LSL,Report!F16&gt;USL),"FAIL","PASS"))</f>
        <v>PASS</v>
      </c>
      <c r="G13" s="14" t="str">
        <f ca="1">IF(Report!G16="","",IF(OR(Report!G16&lt;LSL,Report!G16&gt;USL),"FAIL","PASS"))</f>
        <v>PASS</v>
      </c>
      <c r="H13" s="29">
        <f t="shared" ca="1" si="0"/>
        <v>5</v>
      </c>
      <c r="J13" s="7">
        <v>7</v>
      </c>
      <c r="K13" s="14">
        <f ca="1">IF(Report!C16="","",Report!C16)</f>
        <v>5.1999999999999998E-2</v>
      </c>
      <c r="L13" s="14">
        <f ca="1">IF(Report!D16="","",Report!D16)</f>
        <v>5.1999999999999998E-2</v>
      </c>
      <c r="M13" s="14">
        <f ca="1">IF(Report!E16="","",Report!E16)</f>
        <v>5.1999999999999998E-2</v>
      </c>
      <c r="N13" s="14">
        <f ca="1">IF(Report!F16="","",Report!F16)</f>
        <v>5.0999999999999997E-2</v>
      </c>
      <c r="O13" s="14">
        <f ca="1">IF(Report!G16="","",Report!G16)</f>
        <v>5.2999999999999999E-2</v>
      </c>
      <c r="P13" s="29">
        <f t="shared" ca="1" si="1"/>
        <v>0</v>
      </c>
    </row>
    <row r="14" spans="2:16" x14ac:dyDescent="0.25">
      <c r="B14" s="7">
        <v>8</v>
      </c>
      <c r="C14" s="14" t="str">
        <f ca="1">IF(Report!C17="","",IF(OR(Report!C17&lt;LSL,Report!C17&gt;USL),"FAIL","PASS"))</f>
        <v>PASS</v>
      </c>
      <c r="D14" s="14" t="str">
        <f ca="1">IF(Report!D17="","",IF(OR(Report!D17&lt;LSL,Report!D17&gt;USL),"FAIL","PASS"))</f>
        <v>PASS</v>
      </c>
      <c r="E14" s="14" t="str">
        <f ca="1">IF(Report!E17="","",IF(OR(Report!E17&lt;LSL,Report!E17&gt;USL),"FAIL","PASS"))</f>
        <v>PASS</v>
      </c>
      <c r="F14" s="14" t="str">
        <f ca="1">IF(Report!F17="","",IF(OR(Report!F17&lt;LSL,Report!F17&gt;USL),"FAIL","PASS"))</f>
        <v>PASS</v>
      </c>
      <c r="G14" s="14" t="str">
        <f ca="1">IF(Report!G17="","",IF(OR(Report!G17&lt;LSL,Report!G17&gt;USL),"FAIL","PASS"))</f>
        <v>PASS</v>
      </c>
      <c r="H14" s="29">
        <f t="shared" ca="1" si="0"/>
        <v>5</v>
      </c>
      <c r="J14" s="7">
        <v>8</v>
      </c>
      <c r="K14" s="14">
        <f ca="1">IF(Report!C17="","",Report!C17)</f>
        <v>5.1999999999999998E-2</v>
      </c>
      <c r="L14" s="14">
        <f ca="1">IF(Report!D17="","",Report!D17)</f>
        <v>5.1999999999999998E-2</v>
      </c>
      <c r="M14" s="14">
        <f ca="1">IF(Report!E17="","",Report!E17)</f>
        <v>5.1999999999999998E-2</v>
      </c>
      <c r="N14" s="14">
        <f ca="1">IF(Report!F17="","",Report!F17)</f>
        <v>5.0999999999999997E-2</v>
      </c>
      <c r="O14" s="14">
        <f ca="1">IF(Report!G17="","",Report!G17)</f>
        <v>5.0999999999999997E-2</v>
      </c>
      <c r="P14" s="29">
        <f t="shared" ca="1" si="1"/>
        <v>0</v>
      </c>
    </row>
    <row r="15" spans="2:16" x14ac:dyDescent="0.25">
      <c r="B15" s="7">
        <v>9</v>
      </c>
      <c r="C15" s="14" t="str">
        <f ca="1">IF(Report!C18="","",IF(OR(Report!C18&lt;LSL,Report!C18&gt;USL),"FAIL","PASS"))</f>
        <v>PASS</v>
      </c>
      <c r="D15" s="14" t="str">
        <f ca="1">IF(Report!D18="","",IF(OR(Report!D18&lt;LSL,Report!D18&gt;USL),"FAIL","PASS"))</f>
        <v>PASS</v>
      </c>
      <c r="E15" s="14" t="str">
        <f ca="1">IF(Report!E18="","",IF(OR(Report!E18&lt;LSL,Report!E18&gt;USL),"FAIL","PASS"))</f>
        <v>PASS</v>
      </c>
      <c r="F15" s="14" t="str">
        <f ca="1">IF(Report!F18="","",IF(OR(Report!F18&lt;LSL,Report!F18&gt;USL),"FAIL","PASS"))</f>
        <v>PASS</v>
      </c>
      <c r="G15" s="14" t="str">
        <f ca="1">IF(Report!G18="","",IF(OR(Report!G18&lt;LSL,Report!G18&gt;USL),"FAIL","PASS"))</f>
        <v>PASS</v>
      </c>
      <c r="H15" s="29">
        <f t="shared" ca="1" si="0"/>
        <v>5</v>
      </c>
      <c r="J15" s="7">
        <v>9</v>
      </c>
      <c r="K15" s="14">
        <f ca="1">IF(Report!C18="","",Report!C18)</f>
        <v>5.1999999999999998E-2</v>
      </c>
      <c r="L15" s="14">
        <f ca="1">IF(Report!D18="","",Report!D18)</f>
        <v>5.1999999999999998E-2</v>
      </c>
      <c r="M15" s="14">
        <f ca="1">IF(Report!E18="","",Report!E18)</f>
        <v>5.1999999999999998E-2</v>
      </c>
      <c r="N15" s="14">
        <f ca="1">IF(Report!F18="","",Report!F18)</f>
        <v>5.0999999999999997E-2</v>
      </c>
      <c r="O15" s="14">
        <f ca="1">IF(Report!G18="","",Report!G18)</f>
        <v>5.1999999999999998E-2</v>
      </c>
      <c r="P15" s="29">
        <f t="shared" ca="1" si="1"/>
        <v>0</v>
      </c>
    </row>
    <row r="16" spans="2:16" x14ac:dyDescent="0.25">
      <c r="B16" s="7">
        <v>10</v>
      </c>
      <c r="C16" s="14" t="str">
        <f ca="1">IF(Report!C19="","",IF(OR(Report!C19&lt;LSL,Report!C19&gt;USL),"FAIL","PASS"))</f>
        <v>PASS</v>
      </c>
      <c r="D16" s="14" t="str">
        <f ca="1">IF(Report!D19="","",IF(OR(Report!D19&lt;LSL,Report!D19&gt;USL),"FAIL","PASS"))</f>
        <v>PASS</v>
      </c>
      <c r="E16" s="14" t="str">
        <f ca="1">IF(Report!E19="","",IF(OR(Report!E19&lt;LSL,Report!E19&gt;USL),"FAIL","PASS"))</f>
        <v>PASS</v>
      </c>
      <c r="F16" s="14" t="str">
        <f ca="1">IF(Report!F19="","",IF(OR(Report!F19&lt;LSL,Report!F19&gt;USL),"FAIL","PASS"))</f>
        <v>PASS</v>
      </c>
      <c r="G16" s="14" t="str">
        <f ca="1">IF(Report!G19="","",IF(OR(Report!G19&lt;LSL,Report!G19&gt;USL),"FAIL","PASS"))</f>
        <v>PASS</v>
      </c>
      <c r="H16" s="29">
        <f t="shared" ca="1" si="0"/>
        <v>5</v>
      </c>
      <c r="J16" s="7">
        <v>10</v>
      </c>
      <c r="K16" s="14">
        <f ca="1">IF(Report!C19="","",Report!C19)</f>
        <v>5.2999999999999999E-2</v>
      </c>
      <c r="L16" s="14">
        <f ca="1">IF(Report!D19="","",Report!D19)</f>
        <v>5.2999999999999999E-2</v>
      </c>
      <c r="M16" s="14">
        <f ca="1">IF(Report!E19="","",Report!E19)</f>
        <v>5.1999999999999998E-2</v>
      </c>
      <c r="N16" s="14">
        <f ca="1">IF(Report!F19="","",Report!F19)</f>
        <v>5.2999999999999999E-2</v>
      </c>
      <c r="O16" s="14">
        <f ca="1">IF(Report!G19="","",Report!G19)</f>
        <v>5.1999999999999998E-2</v>
      </c>
      <c r="P16" s="29">
        <f t="shared" ca="1" si="1"/>
        <v>0</v>
      </c>
    </row>
    <row r="17" spans="2:16" x14ac:dyDescent="0.25">
      <c r="B17" s="7">
        <v>11</v>
      </c>
      <c r="C17" s="14" t="str">
        <f ca="1">IF(Report!C20="","",IF(OR(Report!C20&lt;LSL,Report!C20&gt;USL),"FAIL","PASS"))</f>
        <v>PASS</v>
      </c>
      <c r="D17" s="14" t="str">
        <f ca="1">IF(Report!D20="","",IF(OR(Report!D20&lt;LSL,Report!D20&gt;USL),"FAIL","PASS"))</f>
        <v>PASS</v>
      </c>
      <c r="E17" s="14" t="str">
        <f ca="1">IF(Report!E20="","",IF(OR(Report!E20&lt;LSL,Report!E20&gt;USL),"FAIL","PASS"))</f>
        <v>PASS</v>
      </c>
      <c r="F17" s="14" t="str">
        <f ca="1">IF(Report!F20="","",IF(OR(Report!F20&lt;LSL,Report!F20&gt;USL),"FAIL","PASS"))</f>
        <v>PASS</v>
      </c>
      <c r="G17" s="14" t="str">
        <f ca="1">IF(Report!G20="","",IF(OR(Report!G20&lt;LSL,Report!G20&gt;USL),"FAIL","PASS"))</f>
        <v>PASS</v>
      </c>
      <c r="H17" s="29">
        <f t="shared" ca="1" si="0"/>
        <v>5</v>
      </c>
      <c r="J17" s="7">
        <v>11</v>
      </c>
      <c r="K17" s="14">
        <f ca="1">IF(Report!C20="","",Report!C20)</f>
        <v>5.2999999999999999E-2</v>
      </c>
      <c r="L17" s="14">
        <f ca="1">IF(Report!D20="","",Report!D20)</f>
        <v>5.2999999999999999E-2</v>
      </c>
      <c r="M17" s="14">
        <f ca="1">IF(Report!E20="","",Report!E20)</f>
        <v>5.2999999999999999E-2</v>
      </c>
      <c r="N17" s="14">
        <f ca="1">IF(Report!F20="","",Report!F20)</f>
        <v>5.2999999999999999E-2</v>
      </c>
      <c r="O17" s="14">
        <f ca="1">IF(Report!G20="","",Report!G20)</f>
        <v>5.2999999999999999E-2</v>
      </c>
      <c r="P17" s="29">
        <f t="shared" ca="1" si="1"/>
        <v>0</v>
      </c>
    </row>
    <row r="18" spans="2:16" x14ac:dyDescent="0.25">
      <c r="B18" s="7">
        <v>12</v>
      </c>
      <c r="C18" s="14" t="str">
        <f ca="1">IF(Report!C21="","",IF(OR(Report!C21&lt;LSL,Report!C21&gt;USL),"FAIL","PASS"))</f>
        <v>PASS</v>
      </c>
      <c r="D18" s="14" t="str">
        <f ca="1">IF(Report!D21="","",IF(OR(Report!D21&lt;LSL,Report!D21&gt;USL),"FAIL","PASS"))</f>
        <v>PASS</v>
      </c>
      <c r="E18" s="14" t="str">
        <f ca="1">IF(Report!E21="","",IF(OR(Report!E21&lt;LSL,Report!E21&gt;USL),"FAIL","PASS"))</f>
        <v>PASS</v>
      </c>
      <c r="F18" s="14" t="str">
        <f ca="1">IF(Report!F21="","",IF(OR(Report!F21&lt;LSL,Report!F21&gt;USL),"FAIL","PASS"))</f>
        <v>PASS</v>
      </c>
      <c r="G18" s="14" t="str">
        <f ca="1">IF(Report!G21="","",IF(OR(Report!G21&lt;LSL,Report!G21&gt;USL),"FAIL","PASS"))</f>
        <v>PASS</v>
      </c>
      <c r="H18" s="29">
        <f t="shared" ca="1" si="0"/>
        <v>5</v>
      </c>
      <c r="J18" s="7">
        <v>12</v>
      </c>
      <c r="K18" s="14">
        <f ca="1">IF(Report!C21="","",Report!C21)</f>
        <v>5.1999999999999998E-2</v>
      </c>
      <c r="L18" s="14">
        <f ca="1">IF(Report!D21="","",Report!D21)</f>
        <v>5.2999999999999999E-2</v>
      </c>
      <c r="M18" s="14">
        <f ca="1">IF(Report!E21="","",Report!E21)</f>
        <v>5.1999999999999998E-2</v>
      </c>
      <c r="N18" s="14">
        <f ca="1">IF(Report!F21="","",Report!F21)</f>
        <v>5.1999999999999998E-2</v>
      </c>
      <c r="O18" s="14">
        <f ca="1">IF(Report!G21="","",Report!G21)</f>
        <v>5.0999999999999997E-2</v>
      </c>
      <c r="P18" s="29">
        <f t="shared" ca="1" si="1"/>
        <v>0</v>
      </c>
    </row>
    <row r="19" spans="2:16" x14ac:dyDescent="0.25">
      <c r="B19" s="7">
        <v>13</v>
      </c>
      <c r="C19" s="14" t="str">
        <f ca="1">IF(Report!C22="","",IF(OR(Report!C22&lt;LSL,Report!C22&gt;USL),"FAIL","PASS"))</f>
        <v>PASS</v>
      </c>
      <c r="D19" s="14" t="str">
        <f ca="1">IF(Report!D22="","",IF(OR(Report!D22&lt;LSL,Report!D22&gt;USL),"FAIL","PASS"))</f>
        <v>PASS</v>
      </c>
      <c r="E19" s="14" t="str">
        <f ca="1">IF(Report!E22="","",IF(OR(Report!E22&lt;LSL,Report!E22&gt;USL),"FAIL","PASS"))</f>
        <v>PASS</v>
      </c>
      <c r="F19" s="14" t="str">
        <f ca="1">IF(Report!F22="","",IF(OR(Report!F22&lt;LSL,Report!F22&gt;USL),"FAIL","PASS"))</f>
        <v>PASS</v>
      </c>
      <c r="G19" s="14" t="str">
        <f ca="1">IF(Report!G22="","",IF(OR(Report!G22&lt;LSL,Report!G22&gt;USL),"FAIL","PASS"))</f>
        <v>PASS</v>
      </c>
      <c r="H19" s="29">
        <f t="shared" ca="1" si="0"/>
        <v>5</v>
      </c>
      <c r="J19" s="7">
        <v>13</v>
      </c>
      <c r="K19" s="14">
        <f ca="1">IF(Report!C22="","",Report!C22)</f>
        <v>5.1999999999999998E-2</v>
      </c>
      <c r="L19" s="14">
        <f ca="1">IF(Report!D22="","",Report!D22)</f>
        <v>5.1999999999999998E-2</v>
      </c>
      <c r="M19" s="14">
        <f ca="1">IF(Report!E22="","",Report!E22)</f>
        <v>5.1999999999999998E-2</v>
      </c>
      <c r="N19" s="14">
        <f ca="1">IF(Report!F22="","",Report!F22)</f>
        <v>4.9000000000000002E-2</v>
      </c>
      <c r="O19" s="14">
        <f ca="1">IF(Report!G22="","",Report!G22)</f>
        <v>5.0999999999999997E-2</v>
      </c>
      <c r="P19" s="29">
        <f t="shared" ca="1" si="1"/>
        <v>0</v>
      </c>
    </row>
    <row r="20" spans="2:16" x14ac:dyDescent="0.25">
      <c r="B20" s="7">
        <v>14</v>
      </c>
      <c r="C20" s="14" t="str">
        <f ca="1">IF(Report!C23="","",IF(OR(Report!C23&lt;LSL,Report!C23&gt;USL),"FAIL","PASS"))</f>
        <v>PASS</v>
      </c>
      <c r="D20" s="14" t="str">
        <f ca="1">IF(Report!D23="","",IF(OR(Report!D23&lt;LSL,Report!D23&gt;USL),"FAIL","PASS"))</f>
        <v>PASS</v>
      </c>
      <c r="E20" s="14" t="str">
        <f ca="1">IF(Report!E23="","",IF(OR(Report!E23&lt;LSL,Report!E23&gt;USL),"FAIL","PASS"))</f>
        <v>PASS</v>
      </c>
      <c r="F20" s="14" t="str">
        <f ca="1">IF(Report!F23="","",IF(OR(Report!F23&lt;LSL,Report!F23&gt;USL),"FAIL","PASS"))</f>
        <v>PASS</v>
      </c>
      <c r="G20" s="14" t="str">
        <f ca="1">IF(Report!G23="","",IF(OR(Report!G23&lt;LSL,Report!G23&gt;USL),"FAIL","PASS"))</f>
        <v>PASS</v>
      </c>
      <c r="H20" s="29">
        <f t="shared" ca="1" si="0"/>
        <v>5</v>
      </c>
      <c r="J20" s="7">
        <v>14</v>
      </c>
      <c r="K20" s="14">
        <f ca="1">IF(Report!C23="","",Report!C23)</f>
        <v>5.2999999999999999E-2</v>
      </c>
      <c r="L20" s="14">
        <f ca="1">IF(Report!D23="","",Report!D23)</f>
        <v>5.2999999999999999E-2</v>
      </c>
      <c r="M20" s="14">
        <f ca="1">IF(Report!E23="","",Report!E23)</f>
        <v>5.2999999999999999E-2</v>
      </c>
      <c r="N20" s="14">
        <f ca="1">IF(Report!F23="","",Report!F23)</f>
        <v>5.1999999999999998E-2</v>
      </c>
      <c r="O20" s="14">
        <f ca="1">IF(Report!G23="","",Report!G23)</f>
        <v>5.1999999999999998E-2</v>
      </c>
      <c r="P20" s="29">
        <f t="shared" ca="1" si="1"/>
        <v>0</v>
      </c>
    </row>
    <row r="21" spans="2:16" x14ac:dyDescent="0.25">
      <c r="B21" s="7">
        <v>15</v>
      </c>
      <c r="C21" s="14" t="str">
        <f ca="1">IF(Report!C24="","",IF(OR(Report!C24&lt;LSL,Report!C24&gt;USL),"FAIL","PASS"))</f>
        <v>PASS</v>
      </c>
      <c r="D21" s="14" t="str">
        <f ca="1">IF(Report!D24="","",IF(OR(Report!D24&lt;LSL,Report!D24&gt;USL),"FAIL","PASS"))</f>
        <v>PASS</v>
      </c>
      <c r="E21" s="14" t="str">
        <f ca="1">IF(Report!E24="","",IF(OR(Report!E24&lt;LSL,Report!E24&gt;USL),"FAIL","PASS"))</f>
        <v>PASS</v>
      </c>
      <c r="F21" s="14" t="str">
        <f ca="1">IF(Report!F24="","",IF(OR(Report!F24&lt;LSL,Report!F24&gt;USL),"FAIL","PASS"))</f>
        <v>PASS</v>
      </c>
      <c r="G21" s="14" t="str">
        <f ca="1">IF(Report!G24="","",IF(OR(Report!G24&lt;LSL,Report!G24&gt;USL),"FAIL","PASS"))</f>
        <v>PASS</v>
      </c>
      <c r="H21" s="29">
        <f t="shared" ca="1" si="0"/>
        <v>5</v>
      </c>
      <c r="J21" s="7">
        <v>15</v>
      </c>
      <c r="K21" s="14">
        <f ca="1">IF(Report!C24="","",Report!C24)</f>
        <v>5.3999999999999999E-2</v>
      </c>
      <c r="L21" s="14">
        <f ca="1">IF(Report!D24="","",Report!D24)</f>
        <v>5.2999999999999999E-2</v>
      </c>
      <c r="M21" s="14">
        <f ca="1">IF(Report!E24="","",Report!E24)</f>
        <v>5.2999999999999999E-2</v>
      </c>
      <c r="N21" s="14">
        <f ca="1">IF(Report!F24="","",Report!F24)</f>
        <v>5.2999999999999999E-2</v>
      </c>
      <c r="O21" s="14">
        <f ca="1">IF(Report!G24="","",Report!G24)</f>
        <v>5.2999999999999999E-2</v>
      </c>
      <c r="P21" s="29">
        <f t="shared" ca="1" si="1"/>
        <v>0</v>
      </c>
    </row>
    <row r="22" spans="2:16" x14ac:dyDescent="0.25">
      <c r="B22" s="7">
        <v>16</v>
      </c>
      <c r="C22" s="14" t="str">
        <f ca="1">IF(Report!C25="","",IF(OR(Report!C25&lt;LSL,Report!C25&gt;USL),"FAIL","PASS"))</f>
        <v>PASS</v>
      </c>
      <c r="D22" s="14" t="str">
        <f ca="1">IF(Report!D25="","",IF(OR(Report!D25&lt;LSL,Report!D25&gt;USL),"FAIL","PASS"))</f>
        <v>PASS</v>
      </c>
      <c r="E22" s="14" t="str">
        <f ca="1">IF(Report!E25="","",IF(OR(Report!E25&lt;LSL,Report!E25&gt;USL),"FAIL","PASS"))</f>
        <v>PASS</v>
      </c>
      <c r="F22" s="14" t="str">
        <f ca="1">IF(Report!F25="","",IF(OR(Report!F25&lt;LSL,Report!F25&gt;USL),"FAIL","PASS"))</f>
        <v>PASS</v>
      </c>
      <c r="G22" s="14" t="str">
        <f ca="1">IF(Report!G25="","",IF(OR(Report!G25&lt;LSL,Report!G25&gt;USL),"FAIL","PASS"))</f>
        <v>PASS</v>
      </c>
      <c r="H22" s="29">
        <f t="shared" ca="1" si="0"/>
        <v>5</v>
      </c>
      <c r="J22" s="7">
        <v>16</v>
      </c>
      <c r="K22" s="14">
        <f ca="1">IF(Report!C25="","",Report!C25)</f>
        <v>5.2999999999999999E-2</v>
      </c>
      <c r="L22" s="14">
        <f ca="1">IF(Report!D25="","",Report!D25)</f>
        <v>5.1999999999999998E-2</v>
      </c>
      <c r="M22" s="14">
        <f ca="1">IF(Report!E25="","",Report!E25)</f>
        <v>5.1999999999999998E-2</v>
      </c>
      <c r="N22" s="14">
        <f ca="1">IF(Report!F25="","",Report!F25)</f>
        <v>5.2999999999999999E-2</v>
      </c>
      <c r="O22" s="14">
        <f ca="1">IF(Report!G25="","",Report!G25)</f>
        <v>5.2999999999999999E-2</v>
      </c>
      <c r="P22" s="29">
        <f t="shared" ca="1" si="1"/>
        <v>0</v>
      </c>
    </row>
    <row r="23" spans="2:16" x14ac:dyDescent="0.25">
      <c r="B23" s="7">
        <v>17</v>
      </c>
      <c r="C23" s="14" t="str">
        <f ca="1">IF(Report!C26="","",IF(OR(Report!C26&lt;LSL,Report!C26&gt;USL),"FAIL","PASS"))</f>
        <v>PASS</v>
      </c>
      <c r="D23" s="14" t="str">
        <f ca="1">IF(Report!D26="","",IF(OR(Report!D26&lt;LSL,Report!D26&gt;USL),"FAIL","PASS"))</f>
        <v>PASS</v>
      </c>
      <c r="E23" s="14" t="str">
        <f ca="1">IF(Report!E26="","",IF(OR(Report!E26&lt;LSL,Report!E26&gt;USL),"FAIL","PASS"))</f>
        <v>PASS</v>
      </c>
      <c r="F23" s="14" t="str">
        <f ca="1">IF(Report!F26="","",IF(OR(Report!F26&lt;LSL,Report!F26&gt;USL),"FAIL","PASS"))</f>
        <v>PASS</v>
      </c>
      <c r="G23" s="14" t="str">
        <f ca="1">IF(Report!G26="","",IF(OR(Report!G26&lt;LSL,Report!G26&gt;USL),"FAIL","PASS"))</f>
        <v>PASS</v>
      </c>
      <c r="H23" s="29">
        <f t="shared" ca="1" si="0"/>
        <v>5</v>
      </c>
      <c r="J23" s="7">
        <v>17</v>
      </c>
      <c r="K23" s="14">
        <f ca="1">IF(Report!C26="","",Report!C26)</f>
        <v>5.0999999999999997E-2</v>
      </c>
      <c r="L23" s="14">
        <f ca="1">IF(Report!D26="","",Report!D26)</f>
        <v>5.1999999999999998E-2</v>
      </c>
      <c r="M23" s="14">
        <f ca="1">IF(Report!E26="","",Report!E26)</f>
        <v>5.0999999999999997E-2</v>
      </c>
      <c r="N23" s="14">
        <f ca="1">IF(Report!F26="","",Report!F26)</f>
        <v>5.0999999999999997E-2</v>
      </c>
      <c r="O23" s="14">
        <f ca="1">IF(Report!G26="","",Report!G26)</f>
        <v>4.8000000000000001E-2</v>
      </c>
      <c r="P23" s="29">
        <f t="shared" ca="1" si="1"/>
        <v>0</v>
      </c>
    </row>
    <row r="24" spans="2:16" x14ac:dyDescent="0.25">
      <c r="B24" s="7">
        <v>18</v>
      </c>
      <c r="C24" s="14" t="str">
        <f ca="1">IF(Report!C27="","",IF(OR(Report!C27&lt;LSL,Report!C27&gt;USL),"FAIL","PASS"))</f>
        <v/>
      </c>
      <c r="D24" s="14" t="str">
        <f ca="1">IF(Report!D27="","",IF(OR(Report!D27&lt;LSL,Report!D27&gt;USL),"FAIL","PASS"))</f>
        <v/>
      </c>
      <c r="E24" s="14" t="str">
        <f ca="1">IF(Report!E27="","",IF(OR(Report!E27&lt;LSL,Report!E27&gt;USL),"FAIL","PASS"))</f>
        <v/>
      </c>
      <c r="F24" s="14" t="str">
        <f ca="1">IF(Report!F27="","",IF(OR(Report!F27&lt;LSL,Report!F27&gt;USL),"FAIL","PASS"))</f>
        <v/>
      </c>
      <c r="G24" s="14" t="str">
        <f ca="1">IF(Report!G27="","",IF(OR(Report!G27&lt;LSL,Report!G27&gt;USL),"FAIL","PASS"))</f>
        <v/>
      </c>
      <c r="H24" s="29" t="str">
        <f t="shared" ca="1" si="0"/>
        <v/>
      </c>
      <c r="J24" s="7">
        <v>18</v>
      </c>
      <c r="K24" s="14" t="str">
        <f ca="1">IF(Report!C27="","",Report!C27)</f>
        <v/>
      </c>
      <c r="L24" s="14" t="str">
        <f ca="1">IF(Report!D27="","",Report!D27)</f>
        <v/>
      </c>
      <c r="M24" s="14" t="str">
        <f ca="1">IF(Report!E27="","",Report!E27)</f>
        <v/>
      </c>
      <c r="N24" s="14" t="str">
        <f ca="1">IF(Report!F27="","",Report!F27)</f>
        <v/>
      </c>
      <c r="O24" s="14" t="str">
        <f ca="1">IF(Report!G27="","",Report!G27)</f>
        <v/>
      </c>
      <c r="P24" s="29">
        <f t="shared" ca="1" si="1"/>
        <v>0</v>
      </c>
    </row>
    <row r="25" spans="2:16" x14ac:dyDescent="0.25">
      <c r="B25" s="7">
        <v>19</v>
      </c>
      <c r="C25" s="14" t="str">
        <f ca="1">IF(Report!C28="","",IF(OR(Report!C28&lt;LSL,Report!C28&gt;USL),"FAIL","PASS"))</f>
        <v/>
      </c>
      <c r="D25" s="14" t="str">
        <f ca="1">IF(Report!D28="","",IF(OR(Report!D28&lt;LSL,Report!D28&gt;USL),"FAIL","PASS"))</f>
        <v/>
      </c>
      <c r="E25" s="14" t="str">
        <f ca="1">IF(Report!E28="","",IF(OR(Report!E28&lt;LSL,Report!E28&gt;USL),"FAIL","PASS"))</f>
        <v/>
      </c>
      <c r="F25" s="14" t="str">
        <f ca="1">IF(Report!F28="","",IF(OR(Report!F28&lt;LSL,Report!F28&gt;USL),"FAIL","PASS"))</f>
        <v/>
      </c>
      <c r="G25" s="14" t="str">
        <f ca="1">IF(Report!G28="","",IF(OR(Report!G28&lt;LSL,Report!G28&gt;USL),"FAIL","PASS"))</f>
        <v/>
      </c>
      <c r="H25" s="29" t="str">
        <f t="shared" ca="1" si="0"/>
        <v/>
      </c>
      <c r="J25" s="7">
        <v>19</v>
      </c>
      <c r="K25" s="14" t="str">
        <f ca="1">IF(Report!C28="","",Report!C28)</f>
        <v/>
      </c>
      <c r="L25" s="14" t="str">
        <f ca="1">IF(Report!D28="","",Report!D28)</f>
        <v/>
      </c>
      <c r="M25" s="14" t="str">
        <f ca="1">IF(Report!E28="","",Report!E28)</f>
        <v/>
      </c>
      <c r="N25" s="14" t="str">
        <f ca="1">IF(Report!F28="","",Report!F28)</f>
        <v/>
      </c>
      <c r="O25" s="14" t="str">
        <f ca="1">IF(Report!G28="","",Report!G28)</f>
        <v/>
      </c>
      <c r="P25" s="29">
        <f t="shared" ca="1" si="1"/>
        <v>0</v>
      </c>
    </row>
    <row r="26" spans="2:16" x14ac:dyDescent="0.25">
      <c r="B26" s="7">
        <v>20</v>
      </c>
      <c r="C26" s="14" t="str">
        <f ca="1">IF(Report!C29="","",IF(OR(Report!C29&lt;LSL,Report!C29&gt;USL),"FAIL","PASS"))</f>
        <v/>
      </c>
      <c r="D26" s="14" t="str">
        <f ca="1">IF(Report!D29="","",IF(OR(Report!D29&lt;LSL,Report!D29&gt;USL),"FAIL","PASS"))</f>
        <v/>
      </c>
      <c r="E26" s="14" t="str">
        <f ca="1">IF(Report!E29="","",IF(OR(Report!E29&lt;LSL,Report!E29&gt;USL),"FAIL","PASS"))</f>
        <v/>
      </c>
      <c r="F26" s="14" t="str">
        <f ca="1">IF(Report!F29="","",IF(OR(Report!F29&lt;LSL,Report!F29&gt;USL),"FAIL","PASS"))</f>
        <v/>
      </c>
      <c r="G26" s="14" t="str">
        <f ca="1">IF(Report!G29="","",IF(OR(Report!G29&lt;LSL,Report!G29&gt;USL),"FAIL","PASS"))</f>
        <v/>
      </c>
      <c r="H26" s="29" t="str">
        <f t="shared" ca="1" si="0"/>
        <v/>
      </c>
      <c r="J26" s="7">
        <v>20</v>
      </c>
      <c r="K26" s="14" t="str">
        <f ca="1">IF(Report!C29="","",Report!C29)</f>
        <v/>
      </c>
      <c r="L26" s="14" t="str">
        <f ca="1">IF(Report!D29="","",Report!D29)</f>
        <v/>
      </c>
      <c r="M26" s="14" t="str">
        <f ca="1">IF(Report!E29="","",Report!E29)</f>
        <v/>
      </c>
      <c r="N26" s="14" t="str">
        <f ca="1">IF(Report!F29="","",Report!F29)</f>
        <v/>
      </c>
      <c r="O26" s="14" t="str">
        <f ca="1">IF(Report!G29="","",Report!G29)</f>
        <v/>
      </c>
      <c r="P26" s="29">
        <f t="shared" ca="1" si="1"/>
        <v>0</v>
      </c>
    </row>
    <row r="27" spans="2:16" x14ac:dyDescent="0.25">
      <c r="B27" s="7">
        <v>21</v>
      </c>
      <c r="C27" s="14" t="str">
        <f ca="1">IF(Report!C30="","",IF(OR(Report!C30&lt;LSL,Report!C30&gt;USL),"FAIL","PASS"))</f>
        <v/>
      </c>
      <c r="D27" s="14" t="str">
        <f ca="1">IF(Report!D30="","",IF(OR(Report!D30&lt;LSL,Report!D30&gt;USL),"FAIL","PASS"))</f>
        <v/>
      </c>
      <c r="E27" s="14" t="str">
        <f ca="1">IF(Report!E30="","",IF(OR(Report!E30&lt;LSL,Report!E30&gt;USL),"FAIL","PASS"))</f>
        <v/>
      </c>
      <c r="F27" s="14" t="str">
        <f ca="1">IF(Report!F30="","",IF(OR(Report!F30&lt;LSL,Report!F30&gt;USL),"FAIL","PASS"))</f>
        <v/>
      </c>
      <c r="G27" s="14" t="str">
        <f ca="1">IF(Report!G30="","",IF(OR(Report!G30&lt;LSL,Report!G30&gt;USL),"FAIL","PASS"))</f>
        <v/>
      </c>
      <c r="H27" s="29" t="str">
        <f t="shared" ca="1" si="0"/>
        <v/>
      </c>
      <c r="J27" s="7">
        <v>21</v>
      </c>
      <c r="K27" s="14" t="str">
        <f ca="1">IF(Report!C30="","",Report!C30)</f>
        <v/>
      </c>
      <c r="L27" s="14" t="str">
        <f ca="1">IF(Report!D30="","",Report!D30)</f>
        <v/>
      </c>
      <c r="M27" s="14" t="str">
        <f ca="1">IF(Report!E30="","",Report!E30)</f>
        <v/>
      </c>
      <c r="N27" s="14" t="str">
        <f ca="1">IF(Report!F30="","",Report!F30)</f>
        <v/>
      </c>
      <c r="O27" s="14" t="str">
        <f ca="1">IF(Report!G30="","",Report!G30)</f>
        <v/>
      </c>
      <c r="P27" s="29">
        <f t="shared" ca="1" si="1"/>
        <v>0</v>
      </c>
    </row>
    <row r="28" spans="2:16" x14ac:dyDescent="0.25">
      <c r="B28" s="7">
        <v>22</v>
      </c>
      <c r="C28" s="14" t="str">
        <f ca="1">IF(Report!C31="","",IF(OR(Report!C31&lt;LSL,Report!C31&gt;USL),"FAIL","PASS"))</f>
        <v/>
      </c>
      <c r="D28" s="14" t="str">
        <f ca="1">IF(Report!D31="","",IF(OR(Report!D31&lt;LSL,Report!D31&gt;USL),"FAIL","PASS"))</f>
        <v/>
      </c>
      <c r="E28" s="14" t="str">
        <f ca="1">IF(Report!E31="","",IF(OR(Report!E31&lt;LSL,Report!E31&gt;USL),"FAIL","PASS"))</f>
        <v/>
      </c>
      <c r="F28" s="14" t="str">
        <f ca="1">IF(Report!F31="","",IF(OR(Report!F31&lt;LSL,Report!F31&gt;USL),"FAIL","PASS"))</f>
        <v/>
      </c>
      <c r="G28" s="14" t="str">
        <f ca="1">IF(Report!G31="","",IF(OR(Report!G31&lt;LSL,Report!G31&gt;USL),"FAIL","PASS"))</f>
        <v/>
      </c>
      <c r="H28" s="29" t="str">
        <f t="shared" ca="1" si="0"/>
        <v/>
      </c>
      <c r="J28" s="7">
        <v>22</v>
      </c>
      <c r="K28" s="14" t="str">
        <f ca="1">IF(Report!C31="","",Report!C31)</f>
        <v/>
      </c>
      <c r="L28" s="14" t="str">
        <f ca="1">IF(Report!D31="","",Report!D31)</f>
        <v/>
      </c>
      <c r="M28" s="14" t="str">
        <f ca="1">IF(Report!E31="","",Report!E31)</f>
        <v/>
      </c>
      <c r="N28" s="14" t="str">
        <f ca="1">IF(Report!F31="","",Report!F31)</f>
        <v/>
      </c>
      <c r="O28" s="14" t="str">
        <f ca="1">IF(Report!G31="","",Report!G31)</f>
        <v/>
      </c>
      <c r="P28" s="29">
        <f t="shared" ca="1" si="1"/>
        <v>0</v>
      </c>
    </row>
    <row r="29" spans="2:16" x14ac:dyDescent="0.25">
      <c r="B29" s="7">
        <v>23</v>
      </c>
      <c r="C29" s="14" t="str">
        <f ca="1">IF(Report!C32="","",IF(OR(Report!C32&lt;LSL,Report!C32&gt;USL),"FAIL","PASS"))</f>
        <v/>
      </c>
      <c r="D29" s="14" t="str">
        <f ca="1">IF(Report!D32="","",IF(OR(Report!D32&lt;LSL,Report!D32&gt;USL),"FAIL","PASS"))</f>
        <v/>
      </c>
      <c r="E29" s="14" t="str">
        <f ca="1">IF(Report!E32="","",IF(OR(Report!E32&lt;LSL,Report!E32&gt;USL),"FAIL","PASS"))</f>
        <v/>
      </c>
      <c r="F29" s="14" t="str">
        <f ca="1">IF(Report!F32="","",IF(OR(Report!F32&lt;LSL,Report!F32&gt;USL),"FAIL","PASS"))</f>
        <v/>
      </c>
      <c r="G29" s="14" t="str">
        <f ca="1">IF(Report!G32="","",IF(OR(Report!G32&lt;LSL,Report!G32&gt;USL),"FAIL","PASS"))</f>
        <v/>
      </c>
      <c r="H29" s="29" t="str">
        <f t="shared" ca="1" si="0"/>
        <v/>
      </c>
      <c r="J29" s="7">
        <v>23</v>
      </c>
      <c r="K29" s="14" t="str">
        <f ca="1">IF(Report!C32="","",Report!C32)</f>
        <v/>
      </c>
      <c r="L29" s="14" t="str">
        <f ca="1">IF(Report!D32="","",Report!D32)</f>
        <v/>
      </c>
      <c r="M29" s="14" t="str">
        <f ca="1">IF(Report!E32="","",Report!E32)</f>
        <v/>
      </c>
      <c r="N29" s="14" t="str">
        <f ca="1">IF(Report!F32="","",Report!F32)</f>
        <v/>
      </c>
      <c r="O29" s="14" t="str">
        <f ca="1">IF(Report!G32="","",Report!G32)</f>
        <v/>
      </c>
      <c r="P29" s="29">
        <f t="shared" ca="1" si="1"/>
        <v>0</v>
      </c>
    </row>
    <row r="30" spans="2:16" x14ac:dyDescent="0.25">
      <c r="B30" s="7">
        <v>24</v>
      </c>
      <c r="C30" s="14" t="str">
        <f ca="1">IF(Report!C33="","",IF(OR(Report!C33&lt;LSL,Report!C33&gt;USL),"FAIL","PASS"))</f>
        <v/>
      </c>
      <c r="D30" s="14" t="str">
        <f ca="1">IF(Report!D33="","",IF(OR(Report!D33&lt;LSL,Report!D33&gt;USL),"FAIL","PASS"))</f>
        <v/>
      </c>
      <c r="E30" s="14" t="str">
        <f ca="1">IF(Report!E33="","",IF(OR(Report!E33&lt;LSL,Report!E33&gt;USL),"FAIL","PASS"))</f>
        <v/>
      </c>
      <c r="F30" s="14" t="str">
        <f ca="1">IF(Report!F33="","",IF(OR(Report!F33&lt;LSL,Report!F33&gt;USL),"FAIL","PASS"))</f>
        <v/>
      </c>
      <c r="G30" s="14" t="str">
        <f ca="1">IF(Report!G33="","",IF(OR(Report!G33&lt;LSL,Report!G33&gt;USL),"FAIL","PASS"))</f>
        <v/>
      </c>
      <c r="H30" s="29" t="str">
        <f t="shared" ca="1" si="0"/>
        <v/>
      </c>
      <c r="J30" s="7">
        <v>24</v>
      </c>
      <c r="K30" s="14" t="str">
        <f ca="1">IF(Report!C33="","",Report!C33)</f>
        <v/>
      </c>
      <c r="L30" s="14" t="str">
        <f ca="1">IF(Report!D33="","",Report!D33)</f>
        <v/>
      </c>
      <c r="M30" s="14" t="str">
        <f ca="1">IF(Report!E33="","",Report!E33)</f>
        <v/>
      </c>
      <c r="N30" s="14" t="str">
        <f ca="1">IF(Report!F33="","",Report!F33)</f>
        <v/>
      </c>
      <c r="O30" s="14" t="str">
        <f ca="1">IF(Report!G33="","",Report!G33)</f>
        <v/>
      </c>
      <c r="P30" s="29">
        <f t="shared" ca="1" si="1"/>
        <v>0</v>
      </c>
    </row>
    <row r="31" spans="2:16" x14ac:dyDescent="0.25">
      <c r="B31" s="7">
        <v>25</v>
      </c>
      <c r="C31" s="14" t="str">
        <f ca="1">IF(Report!C34="","",IF(OR(Report!C34&lt;LSL,Report!C34&gt;USL),"FAIL","PASS"))</f>
        <v/>
      </c>
      <c r="D31" s="14" t="str">
        <f ca="1">IF(Report!D34="","",IF(OR(Report!D34&lt;LSL,Report!D34&gt;USL),"FAIL","PASS"))</f>
        <v/>
      </c>
      <c r="E31" s="14" t="str">
        <f ca="1">IF(Report!E34="","",IF(OR(Report!E34&lt;LSL,Report!E34&gt;USL),"FAIL","PASS"))</f>
        <v/>
      </c>
      <c r="F31" s="14" t="str">
        <f ca="1">IF(Report!F34="","",IF(OR(Report!F34&lt;LSL,Report!F34&gt;USL),"FAIL","PASS"))</f>
        <v/>
      </c>
      <c r="G31" s="14" t="str">
        <f ca="1">IF(Report!G34="","",IF(OR(Report!G34&lt;LSL,Report!G34&gt;USL),"FAIL","PASS"))</f>
        <v/>
      </c>
      <c r="H31" s="29" t="str">
        <f t="shared" ca="1" si="0"/>
        <v/>
      </c>
      <c r="J31" s="7">
        <v>25</v>
      </c>
      <c r="K31" s="14" t="str">
        <f ca="1">IF(Report!C34="","",Report!C34)</f>
        <v/>
      </c>
      <c r="L31" s="14" t="str">
        <f ca="1">IF(Report!D34="","",Report!D34)</f>
        <v/>
      </c>
      <c r="M31" s="14" t="str">
        <f ca="1">IF(Report!E34="","",Report!E34)</f>
        <v/>
      </c>
      <c r="N31" s="14" t="str">
        <f ca="1">IF(Report!F34="","",Report!F34)</f>
        <v/>
      </c>
      <c r="O31" s="14" t="str">
        <f ca="1">IF(Report!G34="","",Report!G34)</f>
        <v/>
      </c>
      <c r="P31" s="29">
        <f t="shared" ca="1" si="1"/>
        <v>0</v>
      </c>
    </row>
    <row r="32" spans="2:16" x14ac:dyDescent="0.25">
      <c r="B32" s="7">
        <v>26</v>
      </c>
      <c r="C32" s="14" t="str">
        <f ca="1">IF(Report!C35="","",IF(OR(Report!C35&lt;LSL,Report!C35&gt;USL),"FAIL","PASS"))</f>
        <v/>
      </c>
      <c r="D32" s="14" t="str">
        <f ca="1">IF(Report!D35="","",IF(OR(Report!D35&lt;LSL,Report!D35&gt;USL),"FAIL","PASS"))</f>
        <v/>
      </c>
      <c r="E32" s="14" t="str">
        <f ca="1">IF(Report!E35="","",IF(OR(Report!E35&lt;LSL,Report!E35&gt;USL),"FAIL","PASS"))</f>
        <v/>
      </c>
      <c r="F32" s="14" t="str">
        <f ca="1">IF(Report!F35="","",IF(OR(Report!F35&lt;LSL,Report!F35&gt;USL),"FAIL","PASS"))</f>
        <v/>
      </c>
      <c r="G32" s="14" t="str">
        <f ca="1">IF(Report!G35="","",IF(OR(Report!G35&lt;LSL,Report!G35&gt;USL),"FAIL","PASS"))</f>
        <v/>
      </c>
      <c r="H32" s="29" t="str">
        <f t="shared" ca="1" si="0"/>
        <v/>
      </c>
      <c r="J32" s="7">
        <v>26</v>
      </c>
      <c r="K32" s="14" t="str">
        <f ca="1">IF(Report!C35="","",Report!C35)</f>
        <v/>
      </c>
      <c r="L32" s="14" t="str">
        <f ca="1">IF(Report!D35="","",Report!D35)</f>
        <v/>
      </c>
      <c r="M32" s="14" t="str">
        <f ca="1">IF(Report!E35="","",Report!E35)</f>
        <v/>
      </c>
      <c r="N32" s="14" t="str">
        <f ca="1">IF(Report!F35="","",Report!F35)</f>
        <v/>
      </c>
      <c r="O32" s="14" t="str">
        <f ca="1">IF(Report!G35="","",Report!G35)</f>
        <v/>
      </c>
      <c r="P32" s="29">
        <f t="shared" ca="1" si="1"/>
        <v>0</v>
      </c>
    </row>
    <row r="33" spans="2:16" x14ac:dyDescent="0.25">
      <c r="B33" s="7">
        <v>27</v>
      </c>
      <c r="C33" s="14" t="str">
        <f ca="1">IF(Report!C36="","",IF(OR(Report!C36&lt;LSL,Report!C36&gt;USL),"FAIL","PASS"))</f>
        <v/>
      </c>
      <c r="D33" s="14" t="str">
        <f ca="1">IF(Report!D36="","",IF(OR(Report!D36&lt;LSL,Report!D36&gt;USL),"FAIL","PASS"))</f>
        <v/>
      </c>
      <c r="E33" s="14" t="str">
        <f ca="1">IF(Report!E36="","",IF(OR(Report!E36&lt;LSL,Report!E36&gt;USL),"FAIL","PASS"))</f>
        <v/>
      </c>
      <c r="F33" s="14" t="str">
        <f ca="1">IF(Report!F36="","",IF(OR(Report!F36&lt;LSL,Report!F36&gt;USL),"FAIL","PASS"))</f>
        <v/>
      </c>
      <c r="G33" s="14" t="str">
        <f ca="1">IF(Report!G36="","",IF(OR(Report!G36&lt;LSL,Report!G36&gt;USL),"FAIL","PASS"))</f>
        <v/>
      </c>
      <c r="H33" s="29" t="str">
        <f t="shared" ca="1" si="0"/>
        <v/>
      </c>
      <c r="J33" s="7">
        <v>27</v>
      </c>
      <c r="K33" s="14" t="str">
        <f ca="1">IF(Report!C36="","",Report!C36)</f>
        <v/>
      </c>
      <c r="L33" s="14" t="str">
        <f ca="1">IF(Report!D36="","",Report!D36)</f>
        <v/>
      </c>
      <c r="M33" s="14" t="str">
        <f ca="1">IF(Report!E36="","",Report!E36)</f>
        <v/>
      </c>
      <c r="N33" s="14" t="str">
        <f ca="1">IF(Report!F36="","",Report!F36)</f>
        <v/>
      </c>
      <c r="O33" s="14" t="str">
        <f ca="1">IF(Report!G36="","",Report!G36)</f>
        <v/>
      </c>
      <c r="P33" s="29">
        <f t="shared" ca="1" si="1"/>
        <v>0</v>
      </c>
    </row>
    <row r="34" spans="2:16" x14ac:dyDescent="0.25">
      <c r="B34" s="7">
        <v>28</v>
      </c>
      <c r="C34" s="14" t="str">
        <f ca="1">IF(Report!C37="","",IF(OR(Report!C37&lt;LSL,Report!C37&gt;USL),"FAIL","PASS"))</f>
        <v/>
      </c>
      <c r="D34" s="14" t="str">
        <f ca="1">IF(Report!D37="","",IF(OR(Report!D37&lt;LSL,Report!D37&gt;USL),"FAIL","PASS"))</f>
        <v/>
      </c>
      <c r="E34" s="14" t="str">
        <f ca="1">IF(Report!E37="","",IF(OR(Report!E37&lt;LSL,Report!E37&gt;USL),"FAIL","PASS"))</f>
        <v/>
      </c>
      <c r="F34" s="14" t="str">
        <f ca="1">IF(Report!F37="","",IF(OR(Report!F37&lt;LSL,Report!F37&gt;USL),"FAIL","PASS"))</f>
        <v/>
      </c>
      <c r="G34" s="14" t="str">
        <f ca="1">IF(Report!G37="","",IF(OR(Report!G37&lt;LSL,Report!G37&gt;USL),"FAIL","PASS"))</f>
        <v/>
      </c>
      <c r="H34" s="29" t="str">
        <f t="shared" ca="1" si="0"/>
        <v/>
      </c>
      <c r="J34" s="7">
        <v>28</v>
      </c>
      <c r="K34" s="14" t="str">
        <f ca="1">IF(Report!C37="","",Report!C37)</f>
        <v/>
      </c>
      <c r="L34" s="14" t="str">
        <f ca="1">IF(Report!D37="","",Report!D37)</f>
        <v/>
      </c>
      <c r="M34" s="14" t="str">
        <f ca="1">IF(Report!E37="","",Report!E37)</f>
        <v/>
      </c>
      <c r="N34" s="14" t="str">
        <f ca="1">IF(Report!F37="","",Report!F37)</f>
        <v/>
      </c>
      <c r="O34" s="14" t="str">
        <f ca="1">IF(Report!G37="","",Report!G37)</f>
        <v/>
      </c>
      <c r="P34" s="29">
        <f t="shared" ca="1" si="1"/>
        <v>0</v>
      </c>
    </row>
    <row r="35" spans="2:16" x14ac:dyDescent="0.25">
      <c r="B35" s="7">
        <v>29</v>
      </c>
      <c r="C35" s="14" t="str">
        <f ca="1">IF(Report!C38="","",IF(OR(Report!C38&lt;LSL,Report!C38&gt;USL),"FAIL","PASS"))</f>
        <v/>
      </c>
      <c r="D35" s="14" t="str">
        <f ca="1">IF(Report!D38="","",IF(OR(Report!D38&lt;LSL,Report!D38&gt;USL),"FAIL","PASS"))</f>
        <v/>
      </c>
      <c r="E35" s="14" t="str">
        <f ca="1">IF(Report!E38="","",IF(OR(Report!E38&lt;LSL,Report!E38&gt;USL),"FAIL","PASS"))</f>
        <v/>
      </c>
      <c r="F35" s="14" t="str">
        <f ca="1">IF(Report!F38="","",IF(OR(Report!F38&lt;LSL,Report!F38&gt;USL),"FAIL","PASS"))</f>
        <v/>
      </c>
      <c r="G35" s="14" t="str">
        <f ca="1">IF(Report!G38="","",IF(OR(Report!G38&lt;LSL,Report!G38&gt;USL),"FAIL","PASS"))</f>
        <v/>
      </c>
      <c r="H35" s="29" t="str">
        <f t="shared" ca="1" si="0"/>
        <v/>
      </c>
      <c r="J35" s="7">
        <v>29</v>
      </c>
      <c r="K35" s="14" t="str">
        <f ca="1">IF(Report!C38="","",Report!C38)</f>
        <v/>
      </c>
      <c r="L35" s="14" t="str">
        <f ca="1">IF(Report!D38="","",Report!D38)</f>
        <v/>
      </c>
      <c r="M35" s="14" t="str">
        <f ca="1">IF(Report!E38="","",Report!E38)</f>
        <v/>
      </c>
      <c r="N35" s="14" t="str">
        <f ca="1">IF(Report!F38="","",Report!F38)</f>
        <v/>
      </c>
      <c r="O35" s="14" t="str">
        <f ca="1">IF(Report!G38="","",Report!G38)</f>
        <v/>
      </c>
      <c r="P35" s="29">
        <f t="shared" ca="1" si="1"/>
        <v>0</v>
      </c>
    </row>
    <row r="36" spans="2:16" x14ac:dyDescent="0.25">
      <c r="B36" s="7">
        <v>30</v>
      </c>
      <c r="C36" s="14" t="str">
        <f ca="1">IF(Report!C39="","",IF(OR(Report!C39&lt;LSL,Report!C39&gt;USL),"FAIL","PASS"))</f>
        <v/>
      </c>
      <c r="D36" s="14" t="str">
        <f ca="1">IF(Report!D39="","",IF(OR(Report!D39&lt;LSL,Report!D39&gt;USL),"FAIL","PASS"))</f>
        <v/>
      </c>
      <c r="E36" s="14" t="str">
        <f ca="1">IF(Report!E39="","",IF(OR(Report!E39&lt;LSL,Report!E39&gt;USL),"FAIL","PASS"))</f>
        <v/>
      </c>
      <c r="F36" s="14" t="str">
        <f ca="1">IF(Report!F39="","",IF(OR(Report!F39&lt;LSL,Report!F39&gt;USL),"FAIL","PASS"))</f>
        <v/>
      </c>
      <c r="G36" s="14" t="str">
        <f ca="1">IF(Report!G39="","",IF(OR(Report!G39&lt;LSL,Report!G39&gt;USL),"FAIL","PASS"))</f>
        <v/>
      </c>
      <c r="H36" s="29" t="str">
        <f t="shared" ca="1" si="0"/>
        <v/>
      </c>
      <c r="J36" s="7">
        <v>30</v>
      </c>
      <c r="K36" s="14" t="str">
        <f ca="1">IF(Report!C39="","",Report!C39)</f>
        <v/>
      </c>
      <c r="L36" s="14" t="str">
        <f ca="1">IF(Report!D39="","",Report!D39)</f>
        <v/>
      </c>
      <c r="M36" s="14" t="str">
        <f ca="1">IF(Report!E39="","",Report!E39)</f>
        <v/>
      </c>
      <c r="N36" s="14" t="str">
        <f ca="1">IF(Report!F39="","",Report!F39)</f>
        <v/>
      </c>
      <c r="O36" s="14" t="str">
        <f ca="1">IF(Report!G39="","",Report!G39)</f>
        <v/>
      </c>
      <c r="P36" s="29">
        <f t="shared" ca="1" si="1"/>
        <v>0</v>
      </c>
    </row>
    <row r="37" spans="2:16" x14ac:dyDescent="0.25">
      <c r="B37" s="7">
        <v>31</v>
      </c>
      <c r="C37" s="14" t="str">
        <f ca="1">IF(Report!C40="","",IF(OR(Report!C40&lt;LSL,Report!C40&gt;USL),"FAIL","PASS"))</f>
        <v/>
      </c>
      <c r="D37" s="14" t="str">
        <f ca="1">IF(Report!D40="","",IF(OR(Report!D40&lt;LSL,Report!D40&gt;USL),"FAIL","PASS"))</f>
        <v/>
      </c>
      <c r="E37" s="14" t="str">
        <f ca="1">IF(Report!E40="","",IF(OR(Report!E40&lt;LSL,Report!E40&gt;USL),"FAIL","PASS"))</f>
        <v/>
      </c>
      <c r="F37" s="14" t="str">
        <f ca="1">IF(Report!F40="","",IF(OR(Report!F40&lt;LSL,Report!F40&gt;USL),"FAIL","PASS"))</f>
        <v/>
      </c>
      <c r="G37" s="14" t="str">
        <f ca="1">IF(Report!G40="","",IF(OR(Report!G40&lt;LSL,Report!G40&gt;USL),"FAIL","PASS"))</f>
        <v/>
      </c>
      <c r="H37" s="29" t="str">
        <f t="shared" ca="1" si="0"/>
        <v/>
      </c>
      <c r="J37" s="7">
        <v>31</v>
      </c>
      <c r="K37" s="14" t="str">
        <f ca="1">IF(Report!C40="","",Report!C40)</f>
        <v/>
      </c>
      <c r="L37" s="14" t="str">
        <f ca="1">IF(Report!D40="","",Report!D40)</f>
        <v/>
      </c>
      <c r="M37" s="14" t="str">
        <f ca="1">IF(Report!E40="","",Report!E40)</f>
        <v/>
      </c>
      <c r="N37" s="14" t="str">
        <f ca="1">IF(Report!F40="","",Report!F40)</f>
        <v/>
      </c>
      <c r="O37" s="14" t="str">
        <f ca="1">IF(Report!G40="","",Report!G40)</f>
        <v/>
      </c>
      <c r="P37" s="29">
        <f t="shared" ca="1" si="1"/>
        <v>0</v>
      </c>
    </row>
    <row r="38" spans="2:16" x14ac:dyDescent="0.25">
      <c r="B38" s="7">
        <v>32</v>
      </c>
      <c r="C38" s="14" t="str">
        <f ca="1">IF(Report!C41="","",IF(OR(Report!C41&lt;LSL,Report!C41&gt;USL),"FAIL","PASS"))</f>
        <v/>
      </c>
      <c r="D38" s="14" t="str">
        <f ca="1">IF(Report!D41="","",IF(OR(Report!D41&lt;LSL,Report!D41&gt;USL),"FAIL","PASS"))</f>
        <v/>
      </c>
      <c r="E38" s="14" t="str">
        <f ca="1">IF(Report!E41="","",IF(OR(Report!E41&lt;LSL,Report!E41&gt;USL),"FAIL","PASS"))</f>
        <v/>
      </c>
      <c r="F38" s="14" t="str">
        <f ca="1">IF(Report!F41="","",IF(OR(Report!F41&lt;LSL,Report!F41&gt;USL),"FAIL","PASS"))</f>
        <v/>
      </c>
      <c r="G38" s="14" t="str">
        <f ca="1">IF(Report!G41="","",IF(OR(Report!G41&lt;LSL,Report!G41&gt;USL),"FAIL","PASS"))</f>
        <v/>
      </c>
      <c r="H38" s="29" t="str">
        <f t="shared" ca="1" si="0"/>
        <v/>
      </c>
      <c r="J38" s="7">
        <v>32</v>
      </c>
      <c r="K38" s="14" t="str">
        <f ca="1">IF(Report!C41="","",Report!C41)</f>
        <v/>
      </c>
      <c r="L38" s="14" t="str">
        <f ca="1">IF(Report!D41="","",Report!D41)</f>
        <v/>
      </c>
      <c r="M38" s="14" t="str">
        <f ca="1">IF(Report!E41="","",Report!E41)</f>
        <v/>
      </c>
      <c r="N38" s="14" t="str">
        <f ca="1">IF(Report!F41="","",Report!F41)</f>
        <v/>
      </c>
      <c r="O38" s="14" t="str">
        <f ca="1">IF(Report!G41="","",Report!G41)</f>
        <v/>
      </c>
      <c r="P38" s="29">
        <f t="shared" ca="1" si="1"/>
        <v>0</v>
      </c>
    </row>
    <row r="39" spans="2:16" x14ac:dyDescent="0.25">
      <c r="B39" s="7">
        <v>33</v>
      </c>
      <c r="C39" s="14" t="str">
        <f ca="1">IF(Report!C42="","",IF(OR(Report!C42&lt;LSL,Report!C42&gt;USL),"FAIL","PASS"))</f>
        <v/>
      </c>
      <c r="D39" s="14" t="str">
        <f ca="1">IF(Report!D42="","",IF(OR(Report!D42&lt;LSL,Report!D42&gt;USL),"FAIL","PASS"))</f>
        <v/>
      </c>
      <c r="E39" s="14" t="str">
        <f ca="1">IF(Report!E42="","",IF(OR(Report!E42&lt;LSL,Report!E42&gt;USL),"FAIL","PASS"))</f>
        <v/>
      </c>
      <c r="F39" s="14" t="str">
        <f ca="1">IF(Report!F42="","",IF(OR(Report!F42&lt;LSL,Report!F42&gt;USL),"FAIL","PASS"))</f>
        <v/>
      </c>
      <c r="G39" s="14" t="str">
        <f ca="1">IF(Report!G42="","",IF(OR(Report!G42&lt;LSL,Report!G42&gt;USL),"FAIL","PASS"))</f>
        <v/>
      </c>
      <c r="H39" s="29" t="str">
        <f t="shared" ca="1" si="0"/>
        <v/>
      </c>
      <c r="J39" s="7">
        <v>33</v>
      </c>
      <c r="K39" s="14" t="str">
        <f ca="1">IF(Report!C42="","",Report!C42)</f>
        <v/>
      </c>
      <c r="L39" s="14" t="str">
        <f ca="1">IF(Report!D42="","",Report!D42)</f>
        <v/>
      </c>
      <c r="M39" s="14" t="str">
        <f ca="1">IF(Report!E42="","",Report!E42)</f>
        <v/>
      </c>
      <c r="N39" s="14" t="str">
        <f ca="1">IF(Report!F42="","",Report!F42)</f>
        <v/>
      </c>
      <c r="O39" s="14" t="str">
        <f ca="1">IF(Report!G42="","",Report!G42)</f>
        <v/>
      </c>
      <c r="P39" s="29">
        <f t="shared" ca="1" si="1"/>
        <v>0</v>
      </c>
    </row>
    <row r="40" spans="2:16" x14ac:dyDescent="0.25">
      <c r="B40" s="7">
        <v>34</v>
      </c>
      <c r="C40" s="14" t="str">
        <f ca="1">IF(Report!C43="","",IF(OR(Report!C43&lt;LSL,Report!C43&gt;USL),"FAIL","PASS"))</f>
        <v/>
      </c>
      <c r="D40" s="14" t="str">
        <f ca="1">IF(Report!D43="","",IF(OR(Report!D43&lt;LSL,Report!D43&gt;USL),"FAIL","PASS"))</f>
        <v/>
      </c>
      <c r="E40" s="14" t="str">
        <f ca="1">IF(Report!E43="","",IF(OR(Report!E43&lt;LSL,Report!E43&gt;USL),"FAIL","PASS"))</f>
        <v/>
      </c>
      <c r="F40" s="14" t="str">
        <f ca="1">IF(Report!F43="","",IF(OR(Report!F43&lt;LSL,Report!F43&gt;USL),"FAIL","PASS"))</f>
        <v/>
      </c>
      <c r="G40" s="14" t="str">
        <f ca="1">IF(Report!G43="","",IF(OR(Report!G43&lt;LSL,Report!G43&gt;USL),"FAIL","PASS"))</f>
        <v/>
      </c>
      <c r="H40" s="29" t="str">
        <f t="shared" ca="1" si="0"/>
        <v/>
      </c>
      <c r="J40" s="7">
        <v>34</v>
      </c>
      <c r="K40" s="14" t="str">
        <f ca="1">IF(Report!C43="","",Report!C43)</f>
        <v/>
      </c>
      <c r="L40" s="14" t="str">
        <f ca="1">IF(Report!D43="","",Report!D43)</f>
        <v/>
      </c>
      <c r="M40" s="14" t="str">
        <f ca="1">IF(Report!E43="","",Report!E43)</f>
        <v/>
      </c>
      <c r="N40" s="14" t="str">
        <f ca="1">IF(Report!F43="","",Report!F43)</f>
        <v/>
      </c>
      <c r="O40" s="14" t="str">
        <f ca="1">IF(Report!G43="","",Report!G43)</f>
        <v/>
      </c>
      <c r="P40" s="29">
        <f t="shared" ca="1" si="1"/>
        <v>0</v>
      </c>
    </row>
    <row r="41" spans="2:16" x14ac:dyDescent="0.25">
      <c r="B41" s="7">
        <v>35</v>
      </c>
      <c r="C41" s="14" t="str">
        <f ca="1">IF(Report!C44="","",IF(OR(Report!C44&lt;LSL,Report!C44&gt;USL),"FAIL","PASS"))</f>
        <v/>
      </c>
      <c r="D41" s="14" t="str">
        <f ca="1">IF(Report!D44="","",IF(OR(Report!D44&lt;LSL,Report!D44&gt;USL),"FAIL","PASS"))</f>
        <v/>
      </c>
      <c r="E41" s="14" t="str">
        <f ca="1">IF(Report!E44="","",IF(OR(Report!E44&lt;LSL,Report!E44&gt;USL),"FAIL","PASS"))</f>
        <v/>
      </c>
      <c r="F41" s="14" t="str">
        <f ca="1">IF(Report!F44="","",IF(OR(Report!F44&lt;LSL,Report!F44&gt;USL),"FAIL","PASS"))</f>
        <v/>
      </c>
      <c r="G41" s="14" t="str">
        <f ca="1">IF(Report!G44="","",IF(OR(Report!G44&lt;LSL,Report!G44&gt;USL),"FAIL","PASS"))</f>
        <v/>
      </c>
      <c r="H41" s="29" t="str">
        <f t="shared" ca="1" si="0"/>
        <v/>
      </c>
      <c r="J41" s="7">
        <v>35</v>
      </c>
      <c r="K41" s="14" t="str">
        <f ca="1">IF(Report!C44="","",Report!C44)</f>
        <v/>
      </c>
      <c r="L41" s="14" t="str">
        <f ca="1">IF(Report!D44="","",Report!D44)</f>
        <v/>
      </c>
      <c r="M41" s="14" t="str">
        <f ca="1">IF(Report!E44="","",Report!E44)</f>
        <v/>
      </c>
      <c r="N41" s="14" t="str">
        <f ca="1">IF(Report!F44="","",Report!F44)</f>
        <v/>
      </c>
      <c r="O41" s="14" t="str">
        <f ca="1">IF(Report!G44="","",Report!G44)</f>
        <v/>
      </c>
      <c r="P41" s="29">
        <f t="shared" ca="1" si="1"/>
        <v>0</v>
      </c>
    </row>
    <row r="42" spans="2:16" x14ac:dyDescent="0.25">
      <c r="B42" s="7">
        <v>36</v>
      </c>
      <c r="C42" s="14" t="str">
        <f ca="1">IF(Report!C45="","",IF(OR(Report!C45&lt;LSL,Report!C45&gt;USL),"FAIL","PASS"))</f>
        <v/>
      </c>
      <c r="D42" s="14" t="str">
        <f ca="1">IF(Report!D45="","",IF(OR(Report!D45&lt;LSL,Report!D45&gt;USL),"FAIL","PASS"))</f>
        <v/>
      </c>
      <c r="E42" s="14" t="str">
        <f ca="1">IF(Report!E45="","",IF(OR(Report!E45&lt;LSL,Report!E45&gt;USL),"FAIL","PASS"))</f>
        <v/>
      </c>
      <c r="F42" s="14" t="str">
        <f ca="1">IF(Report!F45="","",IF(OR(Report!F45&lt;LSL,Report!F45&gt;USL),"FAIL","PASS"))</f>
        <v/>
      </c>
      <c r="G42" s="14" t="str">
        <f ca="1">IF(Report!G45="","",IF(OR(Report!G45&lt;LSL,Report!G45&gt;USL),"FAIL","PASS"))</f>
        <v/>
      </c>
      <c r="H42" s="29" t="str">
        <f t="shared" ca="1" si="0"/>
        <v/>
      </c>
      <c r="J42" s="7">
        <v>36</v>
      </c>
      <c r="K42" s="14" t="str">
        <f ca="1">IF(Report!C45="","",Report!C45)</f>
        <v/>
      </c>
      <c r="L42" s="14" t="str">
        <f ca="1">IF(Report!D45="","",Report!D45)</f>
        <v/>
      </c>
      <c r="M42" s="14" t="str">
        <f ca="1">IF(Report!E45="","",Report!E45)</f>
        <v/>
      </c>
      <c r="N42" s="14" t="str">
        <f ca="1">IF(Report!F45="","",Report!F45)</f>
        <v/>
      </c>
      <c r="O42" s="14" t="str">
        <f ca="1">IF(Report!G45="","",Report!G45)</f>
        <v/>
      </c>
      <c r="P42" s="29">
        <f t="shared" ca="1" si="1"/>
        <v>0</v>
      </c>
    </row>
    <row r="43" spans="2:16" x14ac:dyDescent="0.25">
      <c r="B43" s="7">
        <v>37</v>
      </c>
      <c r="C43" s="14" t="str">
        <f ca="1">IF(Report!C46="","",IF(OR(Report!C46&lt;LSL,Report!C46&gt;USL),"FAIL","PASS"))</f>
        <v/>
      </c>
      <c r="D43" s="14" t="str">
        <f ca="1">IF(Report!D46="","",IF(OR(Report!D46&lt;LSL,Report!D46&gt;USL),"FAIL","PASS"))</f>
        <v/>
      </c>
      <c r="E43" s="14" t="str">
        <f ca="1">IF(Report!E46="","",IF(OR(Report!E46&lt;LSL,Report!E46&gt;USL),"FAIL","PASS"))</f>
        <v/>
      </c>
      <c r="F43" s="14" t="str">
        <f ca="1">IF(Report!F46="","",IF(OR(Report!F46&lt;LSL,Report!F46&gt;USL),"FAIL","PASS"))</f>
        <v/>
      </c>
      <c r="G43" s="14" t="str">
        <f ca="1">IF(Report!G46="","",IF(OR(Report!G46&lt;LSL,Report!G46&gt;USL),"FAIL","PASS"))</f>
        <v/>
      </c>
      <c r="H43" s="29" t="str">
        <f t="shared" ca="1" si="0"/>
        <v/>
      </c>
      <c r="J43" s="7">
        <v>37</v>
      </c>
      <c r="K43" s="14" t="str">
        <f ca="1">IF(Report!C46="","",Report!C46)</f>
        <v/>
      </c>
      <c r="L43" s="14" t="str">
        <f ca="1">IF(Report!D46="","",Report!D46)</f>
        <v/>
      </c>
      <c r="M43" s="14" t="str">
        <f ca="1">IF(Report!E46="","",Report!E46)</f>
        <v/>
      </c>
      <c r="N43" s="14" t="str">
        <f ca="1">IF(Report!F46="","",Report!F46)</f>
        <v/>
      </c>
      <c r="O43" s="14" t="str">
        <f ca="1">IF(Report!G46="","",Report!G46)</f>
        <v/>
      </c>
      <c r="P43" s="29">
        <f t="shared" ca="1" si="1"/>
        <v>0</v>
      </c>
    </row>
    <row r="44" spans="2:16" x14ac:dyDescent="0.25">
      <c r="B44" s="7">
        <v>38</v>
      </c>
      <c r="C44" s="14" t="str">
        <f ca="1">IF(Report!C47="","",IF(OR(Report!C47&lt;LSL,Report!C47&gt;USL),"FAIL","PASS"))</f>
        <v/>
      </c>
      <c r="D44" s="14" t="str">
        <f ca="1">IF(Report!D47="","",IF(OR(Report!D47&lt;LSL,Report!D47&gt;USL),"FAIL","PASS"))</f>
        <v/>
      </c>
      <c r="E44" s="14" t="str">
        <f ca="1">IF(Report!E47="","",IF(OR(Report!E47&lt;LSL,Report!E47&gt;USL),"FAIL","PASS"))</f>
        <v/>
      </c>
      <c r="F44" s="14" t="str">
        <f ca="1">IF(Report!F47="","",IF(OR(Report!F47&lt;LSL,Report!F47&gt;USL),"FAIL","PASS"))</f>
        <v/>
      </c>
      <c r="G44" s="14" t="str">
        <f ca="1">IF(Report!G47="","",IF(OR(Report!G47&lt;LSL,Report!G47&gt;USL),"FAIL","PASS"))</f>
        <v/>
      </c>
      <c r="H44" s="29" t="str">
        <f t="shared" ca="1" si="0"/>
        <v/>
      </c>
      <c r="J44" s="7">
        <v>38</v>
      </c>
      <c r="K44" s="14" t="str">
        <f ca="1">IF(Report!C47="","",Report!C47)</f>
        <v/>
      </c>
      <c r="L44" s="14" t="str">
        <f ca="1">IF(Report!D47="","",Report!D47)</f>
        <v/>
      </c>
      <c r="M44" s="14" t="str">
        <f ca="1">IF(Report!E47="","",Report!E47)</f>
        <v/>
      </c>
      <c r="N44" s="14" t="str">
        <f ca="1">IF(Report!F47="","",Report!F47)</f>
        <v/>
      </c>
      <c r="O44" s="14" t="str">
        <f ca="1">IF(Report!G47="","",Report!G47)</f>
        <v/>
      </c>
      <c r="P44" s="29">
        <f t="shared" ca="1" si="1"/>
        <v>0</v>
      </c>
    </row>
    <row r="45" spans="2:16" x14ac:dyDescent="0.25">
      <c r="B45" s="7">
        <v>39</v>
      </c>
      <c r="C45" s="14" t="str">
        <f ca="1">IF(Report!C48="","",IF(OR(Report!C48&lt;LSL,Report!C48&gt;USL),"FAIL","PASS"))</f>
        <v/>
      </c>
      <c r="D45" s="14" t="str">
        <f ca="1">IF(Report!D48="","",IF(OR(Report!D48&lt;LSL,Report!D48&gt;USL),"FAIL","PASS"))</f>
        <v/>
      </c>
      <c r="E45" s="14" t="str">
        <f ca="1">IF(Report!E48="","",IF(OR(Report!E48&lt;LSL,Report!E48&gt;USL),"FAIL","PASS"))</f>
        <v/>
      </c>
      <c r="F45" s="14" t="str">
        <f ca="1">IF(Report!F48="","",IF(OR(Report!F48&lt;LSL,Report!F48&gt;USL),"FAIL","PASS"))</f>
        <v/>
      </c>
      <c r="G45" s="14" t="str">
        <f ca="1">IF(Report!G48="","",IF(OR(Report!G48&lt;LSL,Report!G48&gt;USL),"FAIL","PASS"))</f>
        <v/>
      </c>
      <c r="H45" s="29" t="str">
        <f t="shared" ca="1" si="0"/>
        <v/>
      </c>
      <c r="J45" s="7">
        <v>39</v>
      </c>
      <c r="K45" s="14" t="str">
        <f ca="1">IF(Report!C48="","",Report!C48)</f>
        <v/>
      </c>
      <c r="L45" s="14" t="str">
        <f ca="1">IF(Report!D48="","",Report!D48)</f>
        <v/>
      </c>
      <c r="M45" s="14" t="str">
        <f ca="1">IF(Report!E48="","",Report!E48)</f>
        <v/>
      </c>
      <c r="N45" s="14" t="str">
        <f ca="1">IF(Report!F48="","",Report!F48)</f>
        <v/>
      </c>
      <c r="O45" s="14" t="str">
        <f ca="1">IF(Report!G48="","",Report!G48)</f>
        <v/>
      </c>
      <c r="P45" s="29">
        <f t="shared" ca="1" si="1"/>
        <v>0</v>
      </c>
    </row>
    <row r="46" spans="2:16" x14ac:dyDescent="0.25">
      <c r="B46" s="9">
        <v>40</v>
      </c>
      <c r="C46" s="14" t="str">
        <f ca="1">IF(Report!C49="","",IF(OR(Report!C49&lt;LSL,Report!C49&gt;USL),"FAIL","PASS"))</f>
        <v/>
      </c>
      <c r="D46" s="14" t="str">
        <f ca="1">IF(Report!D49="","",IF(OR(Report!D49&lt;LSL,Report!D49&gt;USL),"FAIL","PASS"))</f>
        <v/>
      </c>
      <c r="E46" s="14" t="str">
        <f ca="1">IF(Report!E49="","",IF(OR(Report!E49&lt;LSL,Report!E49&gt;USL),"FAIL","PASS"))</f>
        <v/>
      </c>
      <c r="F46" s="14" t="str">
        <f ca="1">IF(Report!F49="","",IF(OR(Report!F49&lt;LSL,Report!F49&gt;USL),"FAIL","PASS"))</f>
        <v/>
      </c>
      <c r="G46" s="14" t="str">
        <f ca="1">IF(Report!G49="","",IF(OR(Report!G49&lt;LSL,Report!G49&gt;USL),"FAIL","PASS"))</f>
        <v/>
      </c>
      <c r="H46" s="29" t="str">
        <f t="shared" ca="1" si="0"/>
        <v/>
      </c>
      <c r="J46" s="9">
        <v>40</v>
      </c>
      <c r="K46" s="14" t="str">
        <f ca="1">IF(Report!C49="","",Report!C49)</f>
        <v/>
      </c>
      <c r="L46" s="14" t="str">
        <f ca="1">IF(Report!D49="","",Report!D49)</f>
        <v/>
      </c>
      <c r="M46" s="14" t="str">
        <f ca="1">IF(Report!E49="","",Report!E49)</f>
        <v/>
      </c>
      <c r="N46" s="14" t="str">
        <f ca="1">IF(Report!F49="","",Report!F49)</f>
        <v/>
      </c>
      <c r="O46" s="14" t="str">
        <f ca="1">IF(Report!G49="","",Report!G49)</f>
        <v/>
      </c>
      <c r="P46" s="29">
        <f t="shared" ca="1" si="1"/>
        <v>0</v>
      </c>
    </row>
    <row r="47" spans="2:16" x14ac:dyDescent="0.25">
      <c r="B47" s="102">
        <v>41</v>
      </c>
      <c r="C47" s="103" t="str">
        <f ca="1">IF(Report!J10="","",IF(OR(Report!J10&lt;LSL,Report!J10&gt;USL),"FAIL","PASS"))</f>
        <v/>
      </c>
      <c r="D47" s="103" t="str">
        <f ca="1">IF(Report!K10="","",IF(OR(Report!K10&lt;LSL,Report!K10&gt;USL),"FAIL","PASS"))</f>
        <v/>
      </c>
      <c r="E47" s="103" t="str">
        <f ca="1">IF(Report!L10="","",IF(OR(Report!L10&lt;LSL,Report!L10&gt;USL),"FAIL","PASS"))</f>
        <v/>
      </c>
      <c r="F47" s="103" t="str">
        <f ca="1">IF(Report!M10="","",IF(OR(Report!M10&lt;LSL,Report!M10&gt;USL),"FAIL","PASS"))</f>
        <v/>
      </c>
      <c r="G47" s="103" t="str">
        <f ca="1">IF(Report!N10="","",IF(OR(Report!N10&lt;LSL,Report!N10&gt;USL),"FAIL","PASS"))</f>
        <v/>
      </c>
      <c r="H47" s="29" t="str">
        <f t="shared" ca="1" si="0"/>
        <v/>
      </c>
      <c r="I47" s="105"/>
      <c r="J47" s="102">
        <v>41</v>
      </c>
      <c r="K47" s="103" t="str">
        <f ca="1">IF(Report!J10="","",Report!J10)</f>
        <v/>
      </c>
      <c r="L47" s="103" t="str">
        <f ca="1">IF(Report!K10="","",Report!K10)</f>
        <v/>
      </c>
      <c r="M47" s="103" t="str">
        <f ca="1">IF(Report!L10="","",Report!L10)</f>
        <v/>
      </c>
      <c r="N47" s="103" t="str">
        <f ca="1">IF(Report!M10="","",Report!M10)</f>
        <v/>
      </c>
      <c r="O47" s="103" t="str">
        <f ca="1">IF(Report!N10="","",Report!N10)</f>
        <v/>
      </c>
      <c r="P47" s="104">
        <f t="shared" ca="1" si="1"/>
        <v>0</v>
      </c>
    </row>
    <row r="48" spans="2:16" x14ac:dyDescent="0.25">
      <c r="B48" s="9">
        <v>42</v>
      </c>
      <c r="C48" s="14" t="str">
        <f ca="1">IF(Report!J11="","",IF(OR(Report!J11&lt;LSL,Report!J11&gt;USL),"FAIL","PASS"))</f>
        <v/>
      </c>
      <c r="D48" s="14" t="str">
        <f ca="1">IF(Report!K11="","",IF(OR(Report!K11&lt;LSL,Report!K11&gt;USL),"FAIL","PASS"))</f>
        <v/>
      </c>
      <c r="E48" s="14" t="str">
        <f ca="1">IF(Report!L11="","",IF(OR(Report!L11&lt;LSL,Report!L11&gt;USL),"FAIL","PASS"))</f>
        <v/>
      </c>
      <c r="F48" s="14" t="str">
        <f ca="1">IF(Report!M11="","",IF(OR(Report!M11&lt;LSL,Report!M11&gt;USL),"FAIL","PASS"))</f>
        <v/>
      </c>
      <c r="G48" s="14" t="str">
        <f ca="1">IF(Report!N11="","",IF(OR(Report!N11&lt;LSL,Report!N11&gt;USL),"FAIL","PASS"))</f>
        <v/>
      </c>
      <c r="H48" s="29" t="str">
        <f t="shared" ca="1" si="0"/>
        <v/>
      </c>
      <c r="J48" s="9">
        <v>42</v>
      </c>
      <c r="K48" s="14" t="str">
        <f ca="1">IF(Report!J11="","",Report!J11)</f>
        <v/>
      </c>
      <c r="L48" s="14" t="str">
        <f ca="1">IF(Report!K11="","",Report!K11)</f>
        <v/>
      </c>
      <c r="M48" s="14" t="str">
        <f ca="1">IF(Report!L11="","",Report!L11)</f>
        <v/>
      </c>
      <c r="N48" s="14" t="str">
        <f ca="1">IF(Report!M11="","",Report!M11)</f>
        <v/>
      </c>
      <c r="O48" s="14" t="str">
        <f ca="1">IF(Report!N11="","",Report!N11)</f>
        <v/>
      </c>
      <c r="P48" s="29">
        <f t="shared" ca="1" si="1"/>
        <v>0</v>
      </c>
    </row>
    <row r="49" spans="2:16" x14ac:dyDescent="0.25">
      <c r="B49" s="9">
        <v>43</v>
      </c>
      <c r="C49" s="14" t="str">
        <f ca="1">IF(Report!J12="","",IF(OR(Report!J12&lt;LSL,Report!J12&gt;USL),"FAIL","PASS"))</f>
        <v/>
      </c>
      <c r="D49" s="14" t="str">
        <f ca="1">IF(Report!K12="","",IF(OR(Report!K12&lt;LSL,Report!K12&gt;USL),"FAIL","PASS"))</f>
        <v/>
      </c>
      <c r="E49" s="14" t="str">
        <f ca="1">IF(Report!L12="","",IF(OR(Report!L12&lt;LSL,Report!L12&gt;USL),"FAIL","PASS"))</f>
        <v/>
      </c>
      <c r="F49" s="14" t="str">
        <f ca="1">IF(Report!M12="","",IF(OR(Report!M12&lt;LSL,Report!M12&gt;USL),"FAIL","PASS"))</f>
        <v/>
      </c>
      <c r="G49" s="14" t="str">
        <f ca="1">IF(Report!N12="","",IF(OR(Report!N12&lt;LSL,Report!N12&gt;USL),"FAIL","PASS"))</f>
        <v/>
      </c>
      <c r="H49" s="29" t="str">
        <f t="shared" ca="1" si="0"/>
        <v/>
      </c>
      <c r="J49" s="9">
        <v>43</v>
      </c>
      <c r="K49" s="14" t="str">
        <f ca="1">IF(Report!J12="","",Report!J12)</f>
        <v/>
      </c>
      <c r="L49" s="14" t="str">
        <f ca="1">IF(Report!K12="","",Report!K12)</f>
        <v/>
      </c>
      <c r="M49" s="14" t="str">
        <f ca="1">IF(Report!L12="","",Report!L12)</f>
        <v/>
      </c>
      <c r="N49" s="14" t="str">
        <f ca="1">IF(Report!M12="","",Report!M12)</f>
        <v/>
      </c>
      <c r="O49" s="14" t="str">
        <f ca="1">IF(Report!N12="","",Report!N12)</f>
        <v/>
      </c>
      <c r="P49" s="29">
        <f t="shared" ca="1" si="1"/>
        <v>0</v>
      </c>
    </row>
    <row r="50" spans="2:16" x14ac:dyDescent="0.25">
      <c r="B50" s="9">
        <v>44</v>
      </c>
      <c r="C50" s="14" t="str">
        <f ca="1">IF(Report!J13="","",IF(OR(Report!J13&lt;LSL,Report!J13&gt;USL),"FAIL","PASS"))</f>
        <v/>
      </c>
      <c r="D50" s="14" t="str">
        <f ca="1">IF(Report!K13="","",IF(OR(Report!K13&lt;LSL,Report!K13&gt;USL),"FAIL","PASS"))</f>
        <v/>
      </c>
      <c r="E50" s="14" t="str">
        <f ca="1">IF(Report!L13="","",IF(OR(Report!L13&lt;LSL,Report!L13&gt;USL),"FAIL","PASS"))</f>
        <v/>
      </c>
      <c r="F50" s="14" t="str">
        <f ca="1">IF(Report!M13="","",IF(OR(Report!M13&lt;LSL,Report!M13&gt;USL),"FAIL","PASS"))</f>
        <v/>
      </c>
      <c r="G50" s="14" t="str">
        <f ca="1">IF(Report!N13="","",IF(OR(Report!N13&lt;LSL,Report!N13&gt;USL),"FAIL","PASS"))</f>
        <v/>
      </c>
      <c r="H50" s="29" t="str">
        <f t="shared" ca="1" si="0"/>
        <v/>
      </c>
      <c r="J50" s="9">
        <v>44</v>
      </c>
      <c r="K50" s="14" t="str">
        <f ca="1">IF(Report!J13="","",Report!J13)</f>
        <v/>
      </c>
      <c r="L50" s="14" t="str">
        <f ca="1">IF(Report!K13="","",Report!K13)</f>
        <v/>
      </c>
      <c r="M50" s="14" t="str">
        <f ca="1">IF(Report!L13="","",Report!L13)</f>
        <v/>
      </c>
      <c r="N50" s="14" t="str">
        <f ca="1">IF(Report!M13="","",Report!M13)</f>
        <v/>
      </c>
      <c r="O50" s="14" t="str">
        <f ca="1">IF(Report!N13="","",Report!N13)</f>
        <v/>
      </c>
      <c r="P50" s="29">
        <f t="shared" ca="1" si="1"/>
        <v>0</v>
      </c>
    </row>
    <row r="51" spans="2:16" x14ac:dyDescent="0.25">
      <c r="B51" s="9">
        <v>45</v>
      </c>
      <c r="C51" s="14" t="str">
        <f ca="1">IF(Report!J14="","",IF(OR(Report!J14&lt;LSL,Report!J14&gt;USL),"FAIL","PASS"))</f>
        <v/>
      </c>
      <c r="D51" s="14" t="str">
        <f ca="1">IF(Report!K14="","",IF(OR(Report!K14&lt;LSL,Report!K14&gt;USL),"FAIL","PASS"))</f>
        <v/>
      </c>
      <c r="E51" s="14" t="str">
        <f ca="1">IF(Report!L14="","",IF(OR(Report!L14&lt;LSL,Report!L14&gt;USL),"FAIL","PASS"))</f>
        <v/>
      </c>
      <c r="F51" s="14" t="str">
        <f ca="1">IF(Report!M14="","",IF(OR(Report!M14&lt;LSL,Report!M14&gt;USL),"FAIL","PASS"))</f>
        <v/>
      </c>
      <c r="G51" s="14" t="str">
        <f ca="1">IF(Report!N14="","",IF(OR(Report!N14&lt;LSL,Report!N14&gt;USL),"FAIL","PASS"))</f>
        <v/>
      </c>
      <c r="H51" s="29" t="str">
        <f t="shared" ca="1" si="0"/>
        <v/>
      </c>
      <c r="J51" s="9">
        <v>45</v>
      </c>
      <c r="K51" s="14" t="str">
        <f ca="1">IF(Report!J14="","",Report!J14)</f>
        <v/>
      </c>
      <c r="L51" s="14" t="str">
        <f ca="1">IF(Report!K14="","",Report!K14)</f>
        <v/>
      </c>
      <c r="M51" s="14" t="str">
        <f ca="1">IF(Report!L14="","",Report!L14)</f>
        <v/>
      </c>
      <c r="N51" s="14" t="str">
        <f ca="1">IF(Report!M14="","",Report!M14)</f>
        <v/>
      </c>
      <c r="O51" s="14" t="str">
        <f ca="1">IF(Report!N14="","",Report!N14)</f>
        <v/>
      </c>
      <c r="P51" s="29">
        <f t="shared" ca="1" si="1"/>
        <v>0</v>
      </c>
    </row>
    <row r="52" spans="2:16" x14ac:dyDescent="0.25">
      <c r="B52" s="10">
        <v>46</v>
      </c>
      <c r="C52" s="14" t="str">
        <f ca="1">IF(Report!J15="","",IF(OR(Report!J15&lt;LSL,Report!J15&gt;USL),"FAIL","PASS"))</f>
        <v/>
      </c>
      <c r="D52" s="14" t="str">
        <f ca="1">IF(Report!K15="","",IF(OR(Report!K15&lt;LSL,Report!K15&gt;USL),"FAIL","PASS"))</f>
        <v/>
      </c>
      <c r="E52" s="14" t="str">
        <f ca="1">IF(Report!L15="","",IF(OR(Report!L15&lt;LSL,Report!L15&gt;USL),"FAIL","PASS"))</f>
        <v/>
      </c>
      <c r="F52" s="14" t="str">
        <f ca="1">IF(Report!M15="","",IF(OR(Report!M15&lt;LSL,Report!M15&gt;USL),"FAIL","PASS"))</f>
        <v/>
      </c>
      <c r="G52" s="14" t="str">
        <f ca="1">IF(Report!N15="","",IF(OR(Report!N15&lt;LSL,Report!N15&gt;USL),"FAIL","PASS"))</f>
        <v/>
      </c>
      <c r="H52" s="29" t="str">
        <f t="shared" ca="1" si="0"/>
        <v/>
      </c>
      <c r="J52" s="10">
        <v>46</v>
      </c>
      <c r="K52" s="14" t="str">
        <f ca="1">IF(Report!J15="","",Report!J15)</f>
        <v/>
      </c>
      <c r="L52" s="14" t="str">
        <f ca="1">IF(Report!K15="","",Report!K15)</f>
        <v/>
      </c>
      <c r="M52" s="14" t="str">
        <f ca="1">IF(Report!L15="","",Report!L15)</f>
        <v/>
      </c>
      <c r="N52" s="14" t="str">
        <f ca="1">IF(Report!M15="","",Report!M15)</f>
        <v/>
      </c>
      <c r="O52" s="14" t="str">
        <f ca="1">IF(Report!N15="","",Report!N15)</f>
        <v/>
      </c>
      <c r="P52" s="29">
        <f t="shared" ca="1" si="1"/>
        <v>0</v>
      </c>
    </row>
    <row r="53" spans="2:16" x14ac:dyDescent="0.25">
      <c r="B53" s="7">
        <v>47</v>
      </c>
      <c r="C53" s="14" t="str">
        <f ca="1">IF(Report!J16="","",IF(OR(Report!J16&lt;LSL,Report!J16&gt;USL),"FAIL","PASS"))</f>
        <v/>
      </c>
      <c r="D53" s="14" t="str">
        <f ca="1">IF(Report!K16="","",IF(OR(Report!K16&lt;LSL,Report!K16&gt;USL),"FAIL","PASS"))</f>
        <v/>
      </c>
      <c r="E53" s="14" t="str">
        <f ca="1">IF(Report!L16="","",IF(OR(Report!L16&lt;LSL,Report!L16&gt;USL),"FAIL","PASS"))</f>
        <v/>
      </c>
      <c r="F53" s="14" t="str">
        <f ca="1">IF(Report!M16="","",IF(OR(Report!M16&lt;LSL,Report!M16&gt;USL),"FAIL","PASS"))</f>
        <v/>
      </c>
      <c r="G53" s="14" t="str">
        <f ca="1">IF(Report!N16="","",IF(OR(Report!N16&lt;LSL,Report!N16&gt;USL),"FAIL","PASS"))</f>
        <v/>
      </c>
      <c r="H53" s="29" t="str">
        <f t="shared" ca="1" si="0"/>
        <v/>
      </c>
      <c r="J53" s="7">
        <v>47</v>
      </c>
      <c r="K53" s="14" t="str">
        <f ca="1">IF(Report!J16="","",Report!J16)</f>
        <v/>
      </c>
      <c r="L53" s="14" t="str">
        <f ca="1">IF(Report!K16="","",Report!K16)</f>
        <v/>
      </c>
      <c r="M53" s="14" t="str">
        <f ca="1">IF(Report!L16="","",Report!L16)</f>
        <v/>
      </c>
      <c r="N53" s="14" t="str">
        <f ca="1">IF(Report!M16="","",Report!M16)</f>
        <v/>
      </c>
      <c r="O53" s="14" t="str">
        <f ca="1">IF(Report!N16="","",Report!N16)</f>
        <v/>
      </c>
      <c r="P53" s="29">
        <f t="shared" ca="1" si="1"/>
        <v>0</v>
      </c>
    </row>
    <row r="54" spans="2:16" x14ac:dyDescent="0.25">
      <c r="B54" s="10">
        <v>48</v>
      </c>
      <c r="C54" s="14" t="str">
        <f ca="1">IF(Report!J17="","",IF(OR(Report!J17&lt;LSL,Report!J17&gt;USL),"FAIL","PASS"))</f>
        <v/>
      </c>
      <c r="D54" s="14" t="str">
        <f ca="1">IF(Report!K17="","",IF(OR(Report!K17&lt;LSL,Report!K17&gt;USL),"FAIL","PASS"))</f>
        <v/>
      </c>
      <c r="E54" s="14" t="str">
        <f ca="1">IF(Report!L17="","",IF(OR(Report!L17&lt;LSL,Report!L17&gt;USL),"FAIL","PASS"))</f>
        <v/>
      </c>
      <c r="F54" s="14" t="str">
        <f ca="1">IF(Report!M17="","",IF(OR(Report!M17&lt;LSL,Report!M17&gt;USL),"FAIL","PASS"))</f>
        <v/>
      </c>
      <c r="G54" s="14" t="str">
        <f ca="1">IF(Report!N17="","",IF(OR(Report!N17&lt;LSL,Report!N17&gt;USL),"FAIL","PASS"))</f>
        <v/>
      </c>
      <c r="H54" s="29" t="str">
        <f t="shared" ca="1" si="0"/>
        <v/>
      </c>
      <c r="J54" s="10">
        <v>48</v>
      </c>
      <c r="K54" s="14" t="str">
        <f ca="1">IF(Report!J17="","",Report!J17)</f>
        <v/>
      </c>
      <c r="L54" s="14" t="str">
        <f ca="1">IF(Report!K17="","",Report!K17)</f>
        <v/>
      </c>
      <c r="M54" s="14" t="str">
        <f ca="1">IF(Report!L17="","",Report!L17)</f>
        <v/>
      </c>
      <c r="N54" s="14" t="str">
        <f ca="1">IF(Report!M17="","",Report!M17)</f>
        <v/>
      </c>
      <c r="O54" s="14" t="str">
        <f ca="1">IF(Report!N17="","",Report!N17)</f>
        <v/>
      </c>
      <c r="P54" s="29">
        <f t="shared" ca="1" si="1"/>
        <v>0</v>
      </c>
    </row>
    <row r="55" spans="2:16" x14ac:dyDescent="0.25">
      <c r="B55" s="7">
        <v>49</v>
      </c>
      <c r="C55" s="14" t="str">
        <f ca="1">IF(Report!J18="","",IF(OR(Report!J18&lt;LSL,Report!J18&gt;USL),"FAIL","PASS"))</f>
        <v/>
      </c>
      <c r="D55" s="14" t="str">
        <f ca="1">IF(Report!K18="","",IF(OR(Report!K18&lt;LSL,Report!K18&gt;USL),"FAIL","PASS"))</f>
        <v/>
      </c>
      <c r="E55" s="14" t="str">
        <f ca="1">IF(Report!L18="","",IF(OR(Report!L18&lt;LSL,Report!L18&gt;USL),"FAIL","PASS"))</f>
        <v/>
      </c>
      <c r="F55" s="14" t="str">
        <f ca="1">IF(Report!M18="","",IF(OR(Report!M18&lt;LSL,Report!M18&gt;USL),"FAIL","PASS"))</f>
        <v/>
      </c>
      <c r="G55" s="14" t="str">
        <f ca="1">IF(Report!N18="","",IF(OR(Report!N18&lt;LSL,Report!N18&gt;USL),"FAIL","PASS"))</f>
        <v/>
      </c>
      <c r="H55" s="29" t="str">
        <f t="shared" ca="1" si="0"/>
        <v/>
      </c>
      <c r="J55" s="7">
        <v>49</v>
      </c>
      <c r="K55" s="14" t="str">
        <f ca="1">IF(Report!J18="","",Report!J18)</f>
        <v/>
      </c>
      <c r="L55" s="14" t="str">
        <f ca="1">IF(Report!K18="","",Report!K18)</f>
        <v/>
      </c>
      <c r="M55" s="14" t="str">
        <f ca="1">IF(Report!L18="","",Report!L18)</f>
        <v/>
      </c>
      <c r="N55" s="14" t="str">
        <f ca="1">IF(Report!M18="","",Report!M18)</f>
        <v/>
      </c>
      <c r="O55" s="14" t="str">
        <f ca="1">IF(Report!N18="","",Report!N18)</f>
        <v/>
      </c>
      <c r="P55" s="29">
        <f t="shared" ca="1" si="1"/>
        <v>0</v>
      </c>
    </row>
    <row r="56" spans="2:16" x14ac:dyDescent="0.25">
      <c r="B56" s="10">
        <v>50</v>
      </c>
      <c r="C56" s="14" t="str">
        <f ca="1">IF(Report!J19="","",IF(OR(Report!J19&lt;LSL,Report!J19&gt;USL),"FAIL","PASS"))</f>
        <v/>
      </c>
      <c r="D56" s="14" t="str">
        <f ca="1">IF(Report!K19="","",IF(OR(Report!K19&lt;LSL,Report!K19&gt;USL),"FAIL","PASS"))</f>
        <v/>
      </c>
      <c r="E56" s="14" t="str">
        <f ca="1">IF(Report!L19="","",IF(OR(Report!L19&lt;LSL,Report!L19&gt;USL),"FAIL","PASS"))</f>
        <v/>
      </c>
      <c r="F56" s="14" t="str">
        <f ca="1">IF(Report!M19="","",IF(OR(Report!M19&lt;LSL,Report!M19&gt;USL),"FAIL","PASS"))</f>
        <v/>
      </c>
      <c r="G56" s="14" t="str">
        <f ca="1">IF(Report!N19="","",IF(OR(Report!N19&lt;LSL,Report!N19&gt;USL),"FAIL","PASS"))</f>
        <v/>
      </c>
      <c r="H56" s="29" t="str">
        <f t="shared" ca="1" si="0"/>
        <v/>
      </c>
      <c r="J56" s="10">
        <v>50</v>
      </c>
      <c r="K56" s="14" t="str">
        <f ca="1">IF(Report!J19="","",Report!J19)</f>
        <v/>
      </c>
      <c r="L56" s="14" t="str">
        <f ca="1">IF(Report!K19="","",Report!K19)</f>
        <v/>
      </c>
      <c r="M56" s="14" t="str">
        <f ca="1">IF(Report!L19="","",Report!L19)</f>
        <v/>
      </c>
      <c r="N56" s="14" t="str">
        <f ca="1">IF(Report!M19="","",Report!M19)</f>
        <v/>
      </c>
      <c r="O56" s="14" t="str">
        <f ca="1">IF(Report!N19="","",Report!N19)</f>
        <v/>
      </c>
      <c r="P56" s="29">
        <f t="shared" ca="1" si="1"/>
        <v>0</v>
      </c>
    </row>
    <row r="57" spans="2:16" x14ac:dyDescent="0.25">
      <c r="B57" s="7">
        <v>51</v>
      </c>
      <c r="C57" s="14" t="str">
        <f ca="1">IF(Report!J20="","",IF(OR(Report!J20&lt;LSL,Report!J20&gt;USL),"FAIL","PASS"))</f>
        <v/>
      </c>
      <c r="D57" s="14" t="str">
        <f ca="1">IF(Report!K20="","",IF(OR(Report!K20&lt;LSL,Report!K20&gt;USL),"FAIL","PASS"))</f>
        <v/>
      </c>
      <c r="E57" s="14" t="str">
        <f ca="1">IF(Report!L20="","",IF(OR(Report!L20&lt;LSL,Report!L20&gt;USL),"FAIL","PASS"))</f>
        <v/>
      </c>
      <c r="F57" s="14" t="str">
        <f ca="1">IF(Report!M20="","",IF(OR(Report!M20&lt;LSL,Report!M20&gt;USL),"FAIL","PASS"))</f>
        <v/>
      </c>
      <c r="G57" s="14" t="str">
        <f ca="1">IF(Report!N20="","",IF(OR(Report!N20&lt;LSL,Report!N20&gt;USL),"FAIL","PASS"))</f>
        <v/>
      </c>
      <c r="H57" s="29" t="str">
        <f t="shared" ca="1" si="0"/>
        <v/>
      </c>
      <c r="J57" s="7">
        <v>51</v>
      </c>
      <c r="K57" s="14" t="str">
        <f ca="1">IF(Report!J20="","",Report!J20)</f>
        <v/>
      </c>
      <c r="L57" s="14" t="str">
        <f ca="1">IF(Report!K20="","",Report!K20)</f>
        <v/>
      </c>
      <c r="M57" s="14" t="str">
        <f ca="1">IF(Report!L20="","",Report!L20)</f>
        <v/>
      </c>
      <c r="N57" s="14" t="str">
        <f ca="1">IF(Report!M20="","",Report!M20)</f>
        <v/>
      </c>
      <c r="O57" s="14" t="str">
        <f ca="1">IF(Report!N20="","",Report!N20)</f>
        <v/>
      </c>
      <c r="P57" s="29">
        <f t="shared" ca="1" si="1"/>
        <v>0</v>
      </c>
    </row>
    <row r="58" spans="2:16" x14ac:dyDescent="0.25">
      <c r="B58" s="10">
        <v>52</v>
      </c>
      <c r="C58" s="14" t="str">
        <f ca="1">IF(Report!J21="","",IF(OR(Report!J21&lt;LSL,Report!J21&gt;USL),"FAIL","PASS"))</f>
        <v/>
      </c>
      <c r="D58" s="14" t="str">
        <f ca="1">IF(Report!K21="","",IF(OR(Report!K21&lt;LSL,Report!K21&gt;USL),"FAIL","PASS"))</f>
        <v/>
      </c>
      <c r="E58" s="14" t="str">
        <f ca="1">IF(Report!L21="","",IF(OR(Report!L21&lt;LSL,Report!L21&gt;USL),"FAIL","PASS"))</f>
        <v/>
      </c>
      <c r="F58" s="14" t="str">
        <f ca="1">IF(Report!M21="","",IF(OR(Report!M21&lt;LSL,Report!M21&gt;USL),"FAIL","PASS"))</f>
        <v/>
      </c>
      <c r="G58" s="14" t="str">
        <f ca="1">IF(Report!N21="","",IF(OR(Report!N21&lt;LSL,Report!N21&gt;USL),"FAIL","PASS"))</f>
        <v/>
      </c>
      <c r="H58" s="29" t="str">
        <f t="shared" ca="1" si="0"/>
        <v/>
      </c>
      <c r="J58" s="10">
        <v>52</v>
      </c>
      <c r="K58" s="14" t="str">
        <f ca="1">IF(Report!J21="","",Report!J21)</f>
        <v/>
      </c>
      <c r="L58" s="14" t="str">
        <f ca="1">IF(Report!K21="","",Report!K21)</f>
        <v/>
      </c>
      <c r="M58" s="14" t="str">
        <f ca="1">IF(Report!L21="","",Report!L21)</f>
        <v/>
      </c>
      <c r="N58" s="14" t="str">
        <f ca="1">IF(Report!M21="","",Report!M21)</f>
        <v/>
      </c>
      <c r="O58" s="14" t="str">
        <f ca="1">IF(Report!N21="","",Report!N21)</f>
        <v/>
      </c>
      <c r="P58" s="29">
        <f t="shared" ca="1" si="1"/>
        <v>0</v>
      </c>
    </row>
    <row r="59" spans="2:16" x14ac:dyDescent="0.25">
      <c r="B59" s="7">
        <v>53</v>
      </c>
      <c r="C59" s="14" t="str">
        <f ca="1">IF(Report!J22="","",IF(OR(Report!J22&lt;LSL,Report!J22&gt;USL),"FAIL","PASS"))</f>
        <v/>
      </c>
      <c r="D59" s="14" t="str">
        <f ca="1">IF(Report!K22="","",IF(OR(Report!K22&lt;LSL,Report!K22&gt;USL),"FAIL","PASS"))</f>
        <v/>
      </c>
      <c r="E59" s="14" t="str">
        <f ca="1">IF(Report!L22="","",IF(OR(Report!L22&lt;LSL,Report!L22&gt;USL),"FAIL","PASS"))</f>
        <v/>
      </c>
      <c r="F59" s="14" t="str">
        <f ca="1">IF(Report!M22="","",IF(OR(Report!M22&lt;LSL,Report!M22&gt;USL),"FAIL","PASS"))</f>
        <v/>
      </c>
      <c r="G59" s="14" t="str">
        <f ca="1">IF(Report!N22="","",IF(OR(Report!N22&lt;LSL,Report!N22&gt;USL),"FAIL","PASS"))</f>
        <v/>
      </c>
      <c r="H59" s="29" t="str">
        <f t="shared" ca="1" si="0"/>
        <v/>
      </c>
      <c r="J59" s="7">
        <v>53</v>
      </c>
      <c r="K59" s="14" t="str">
        <f ca="1">IF(Report!J22="","",Report!J22)</f>
        <v/>
      </c>
      <c r="L59" s="14" t="str">
        <f ca="1">IF(Report!K22="","",Report!K22)</f>
        <v/>
      </c>
      <c r="M59" s="14" t="str">
        <f ca="1">IF(Report!L22="","",Report!L22)</f>
        <v/>
      </c>
      <c r="N59" s="14" t="str">
        <f ca="1">IF(Report!M22="","",Report!M22)</f>
        <v/>
      </c>
      <c r="O59" s="14" t="str">
        <f ca="1">IF(Report!N22="","",Report!N22)</f>
        <v/>
      </c>
      <c r="P59" s="29">
        <f t="shared" ca="1" si="1"/>
        <v>0</v>
      </c>
    </row>
    <row r="60" spans="2:16" x14ac:dyDescent="0.25">
      <c r="B60" s="10">
        <v>54</v>
      </c>
      <c r="C60" s="14" t="str">
        <f ca="1">IF(Report!J23="","",IF(OR(Report!J23&lt;LSL,Report!J23&gt;USL),"FAIL","PASS"))</f>
        <v/>
      </c>
      <c r="D60" s="14" t="str">
        <f ca="1">IF(Report!K23="","",IF(OR(Report!K23&lt;LSL,Report!K23&gt;USL),"FAIL","PASS"))</f>
        <v/>
      </c>
      <c r="E60" s="14" t="str">
        <f ca="1">IF(Report!L23="","",IF(OR(Report!L23&lt;LSL,Report!L23&gt;USL),"FAIL","PASS"))</f>
        <v/>
      </c>
      <c r="F60" s="14" t="str">
        <f ca="1">IF(Report!M23="","",IF(OR(Report!M23&lt;LSL,Report!M23&gt;USL),"FAIL","PASS"))</f>
        <v/>
      </c>
      <c r="G60" s="14" t="str">
        <f ca="1">IF(Report!N23="","",IF(OR(Report!N23&lt;LSL,Report!N23&gt;USL),"FAIL","PASS"))</f>
        <v/>
      </c>
      <c r="H60" s="29" t="str">
        <f t="shared" ca="1" si="0"/>
        <v/>
      </c>
      <c r="J60" s="10">
        <v>54</v>
      </c>
      <c r="K60" s="14" t="str">
        <f ca="1">IF(Report!J23="","",Report!J23)</f>
        <v/>
      </c>
      <c r="L60" s="14" t="str">
        <f ca="1">IF(Report!K23="","",Report!K23)</f>
        <v/>
      </c>
      <c r="M60" s="14" t="str">
        <f ca="1">IF(Report!L23="","",Report!L23)</f>
        <v/>
      </c>
      <c r="N60" s="14" t="str">
        <f ca="1">IF(Report!M23="","",Report!M23)</f>
        <v/>
      </c>
      <c r="O60" s="14" t="str">
        <f ca="1">IF(Report!N23="","",Report!N23)</f>
        <v/>
      </c>
      <c r="P60" s="29">
        <f t="shared" ca="1" si="1"/>
        <v>0</v>
      </c>
    </row>
    <row r="61" spans="2:16" x14ac:dyDescent="0.25">
      <c r="B61" s="7">
        <v>55</v>
      </c>
      <c r="C61" s="14" t="str">
        <f ca="1">IF(Report!J24="","",IF(OR(Report!J24&lt;LSL,Report!J24&gt;USL),"FAIL","PASS"))</f>
        <v/>
      </c>
      <c r="D61" s="14" t="str">
        <f ca="1">IF(Report!K24="","",IF(OR(Report!K24&lt;LSL,Report!K24&gt;USL),"FAIL","PASS"))</f>
        <v/>
      </c>
      <c r="E61" s="14" t="str">
        <f ca="1">IF(Report!L24="","",IF(OR(Report!L24&lt;LSL,Report!L24&gt;USL),"FAIL","PASS"))</f>
        <v/>
      </c>
      <c r="F61" s="14" t="str">
        <f ca="1">IF(Report!M24="","",IF(OR(Report!M24&lt;LSL,Report!M24&gt;USL),"FAIL","PASS"))</f>
        <v/>
      </c>
      <c r="G61" s="14" t="str">
        <f ca="1">IF(Report!N24="","",IF(OR(Report!N24&lt;LSL,Report!N24&gt;USL),"FAIL","PASS"))</f>
        <v/>
      </c>
      <c r="H61" s="29" t="str">
        <f t="shared" ca="1" si="0"/>
        <v/>
      </c>
      <c r="J61" s="7">
        <v>55</v>
      </c>
      <c r="K61" s="14" t="str">
        <f ca="1">IF(Report!J24="","",Report!J24)</f>
        <v/>
      </c>
      <c r="L61" s="14" t="str">
        <f ca="1">IF(Report!K24="","",Report!K24)</f>
        <v/>
      </c>
      <c r="M61" s="14" t="str">
        <f ca="1">IF(Report!L24="","",Report!L24)</f>
        <v/>
      </c>
      <c r="N61" s="14" t="str">
        <f ca="1">IF(Report!M24="","",Report!M24)</f>
        <v/>
      </c>
      <c r="O61" s="14" t="str">
        <f ca="1">IF(Report!N24="","",Report!N24)</f>
        <v/>
      </c>
      <c r="P61" s="29">
        <f t="shared" ca="1" si="1"/>
        <v>0</v>
      </c>
    </row>
    <row r="62" spans="2:16" x14ac:dyDescent="0.25">
      <c r="B62" s="10">
        <v>56</v>
      </c>
      <c r="C62" s="14" t="str">
        <f ca="1">IF(Report!J25="","",IF(OR(Report!J25&lt;LSL,Report!J25&gt;USL),"FAIL","PASS"))</f>
        <v/>
      </c>
      <c r="D62" s="14" t="str">
        <f ca="1">IF(Report!K25="","",IF(OR(Report!K25&lt;LSL,Report!K25&gt;USL),"FAIL","PASS"))</f>
        <v/>
      </c>
      <c r="E62" s="14" t="str">
        <f ca="1">IF(Report!L25="","",IF(OR(Report!L25&lt;LSL,Report!L25&gt;USL),"FAIL","PASS"))</f>
        <v/>
      </c>
      <c r="F62" s="14" t="str">
        <f ca="1">IF(Report!M25="","",IF(OR(Report!M25&lt;LSL,Report!M25&gt;USL),"FAIL","PASS"))</f>
        <v/>
      </c>
      <c r="G62" s="14" t="str">
        <f ca="1">IF(Report!N25="","",IF(OR(Report!N25&lt;LSL,Report!N25&gt;USL),"FAIL","PASS"))</f>
        <v/>
      </c>
      <c r="H62" s="29" t="str">
        <f t="shared" ca="1" si="0"/>
        <v/>
      </c>
      <c r="J62" s="10">
        <v>56</v>
      </c>
      <c r="K62" s="14" t="str">
        <f ca="1">IF(Report!J25="","",Report!J25)</f>
        <v/>
      </c>
      <c r="L62" s="14" t="str">
        <f ca="1">IF(Report!K25="","",Report!K25)</f>
        <v/>
      </c>
      <c r="M62" s="14" t="str">
        <f ca="1">IF(Report!L25="","",Report!L25)</f>
        <v/>
      </c>
      <c r="N62" s="14" t="str">
        <f ca="1">IF(Report!M25="","",Report!M25)</f>
        <v/>
      </c>
      <c r="O62" s="14" t="str">
        <f ca="1">IF(Report!N25="","",Report!N25)</f>
        <v/>
      </c>
      <c r="P62" s="29">
        <f t="shared" ca="1" si="1"/>
        <v>0</v>
      </c>
    </row>
    <row r="63" spans="2:16" x14ac:dyDescent="0.25">
      <c r="B63" s="7">
        <v>57</v>
      </c>
      <c r="C63" s="14" t="str">
        <f ca="1">IF(Report!J26="","",IF(OR(Report!J26&lt;LSL,Report!J26&gt;USL),"FAIL","PASS"))</f>
        <v/>
      </c>
      <c r="D63" s="14" t="str">
        <f ca="1">IF(Report!K26="","",IF(OR(Report!K26&lt;LSL,Report!K26&gt;USL),"FAIL","PASS"))</f>
        <v/>
      </c>
      <c r="E63" s="14" t="str">
        <f ca="1">IF(Report!L26="","",IF(OR(Report!L26&lt;LSL,Report!L26&gt;USL),"FAIL","PASS"))</f>
        <v/>
      </c>
      <c r="F63" s="14" t="str">
        <f ca="1">IF(Report!M26="","",IF(OR(Report!M26&lt;LSL,Report!M26&gt;USL),"FAIL","PASS"))</f>
        <v/>
      </c>
      <c r="G63" s="14" t="str">
        <f ca="1">IF(Report!N26="","",IF(OR(Report!N26&lt;LSL,Report!N26&gt;USL),"FAIL","PASS"))</f>
        <v/>
      </c>
      <c r="H63" s="29" t="str">
        <f t="shared" ca="1" si="0"/>
        <v/>
      </c>
      <c r="J63" s="7">
        <v>57</v>
      </c>
      <c r="K63" s="14" t="str">
        <f ca="1">IF(Report!J26="","",Report!J26)</f>
        <v/>
      </c>
      <c r="L63" s="14" t="str">
        <f ca="1">IF(Report!K26="","",Report!K26)</f>
        <v/>
      </c>
      <c r="M63" s="14" t="str">
        <f ca="1">IF(Report!L26="","",Report!L26)</f>
        <v/>
      </c>
      <c r="N63" s="14" t="str">
        <f ca="1">IF(Report!M26="","",Report!M26)</f>
        <v/>
      </c>
      <c r="O63" s="14" t="str">
        <f ca="1">IF(Report!N26="","",Report!N26)</f>
        <v/>
      </c>
      <c r="P63" s="29">
        <f t="shared" ca="1" si="1"/>
        <v>0</v>
      </c>
    </row>
    <row r="64" spans="2:16" x14ac:dyDescent="0.25">
      <c r="B64" s="10">
        <v>58</v>
      </c>
      <c r="C64" s="14" t="str">
        <f ca="1">IF(Report!J27="","",IF(OR(Report!J27&lt;LSL,Report!J27&gt;USL),"FAIL","PASS"))</f>
        <v/>
      </c>
      <c r="D64" s="14" t="str">
        <f ca="1">IF(Report!K27="","",IF(OR(Report!K27&lt;LSL,Report!K27&gt;USL),"FAIL","PASS"))</f>
        <v/>
      </c>
      <c r="E64" s="14" t="str">
        <f ca="1">IF(Report!L27="","",IF(OR(Report!L27&lt;LSL,Report!L27&gt;USL),"FAIL","PASS"))</f>
        <v/>
      </c>
      <c r="F64" s="14" t="str">
        <f ca="1">IF(Report!M27="","",IF(OR(Report!M27&lt;LSL,Report!M27&gt;USL),"FAIL","PASS"))</f>
        <v/>
      </c>
      <c r="G64" s="14" t="str">
        <f ca="1">IF(Report!N27="","",IF(OR(Report!N27&lt;LSL,Report!N27&gt;USL),"FAIL","PASS"))</f>
        <v/>
      </c>
      <c r="H64" s="29" t="str">
        <f t="shared" ca="1" si="0"/>
        <v/>
      </c>
      <c r="J64" s="10">
        <v>58</v>
      </c>
      <c r="K64" s="14" t="str">
        <f ca="1">IF(Report!J27="","",Report!J27)</f>
        <v/>
      </c>
      <c r="L64" s="14" t="str">
        <f ca="1">IF(Report!K27="","",Report!K27)</f>
        <v/>
      </c>
      <c r="M64" s="14" t="str">
        <f ca="1">IF(Report!L27="","",Report!L27)</f>
        <v/>
      </c>
      <c r="N64" s="14" t="str">
        <f ca="1">IF(Report!M27="","",Report!M27)</f>
        <v/>
      </c>
      <c r="O64" s="14" t="str">
        <f ca="1">IF(Report!N27="","",Report!N27)</f>
        <v/>
      </c>
      <c r="P64" s="29">
        <f t="shared" ca="1" si="1"/>
        <v>0</v>
      </c>
    </row>
    <row r="65" spans="2:16" x14ac:dyDescent="0.25">
      <c r="B65" s="7">
        <v>59</v>
      </c>
      <c r="C65" s="14" t="str">
        <f ca="1">IF(Report!J28="","",IF(OR(Report!J28&lt;LSL,Report!J28&gt;USL),"FAIL","PASS"))</f>
        <v/>
      </c>
      <c r="D65" s="14" t="str">
        <f ca="1">IF(Report!K28="","",IF(OR(Report!K28&lt;LSL,Report!K28&gt;USL),"FAIL","PASS"))</f>
        <v/>
      </c>
      <c r="E65" s="14" t="str">
        <f ca="1">IF(Report!L28="","",IF(OR(Report!L28&lt;LSL,Report!L28&gt;USL),"FAIL","PASS"))</f>
        <v/>
      </c>
      <c r="F65" s="14" t="str">
        <f ca="1">IF(Report!M28="","",IF(OR(Report!M28&lt;LSL,Report!M28&gt;USL),"FAIL","PASS"))</f>
        <v/>
      </c>
      <c r="G65" s="14" t="str">
        <f ca="1">IF(Report!N28="","",IF(OR(Report!N28&lt;LSL,Report!N28&gt;USL),"FAIL","PASS"))</f>
        <v/>
      </c>
      <c r="H65" s="29" t="str">
        <f t="shared" ca="1" si="0"/>
        <v/>
      </c>
      <c r="J65" s="7">
        <v>59</v>
      </c>
      <c r="K65" s="14" t="str">
        <f ca="1">IF(Report!J28="","",Report!J28)</f>
        <v/>
      </c>
      <c r="L65" s="14" t="str">
        <f ca="1">IF(Report!K28="","",Report!K28)</f>
        <v/>
      </c>
      <c r="M65" s="14" t="str">
        <f ca="1">IF(Report!L28="","",Report!L28)</f>
        <v/>
      </c>
      <c r="N65" s="14" t="str">
        <f ca="1">IF(Report!M28="","",Report!M28)</f>
        <v/>
      </c>
      <c r="O65" s="14" t="str">
        <f ca="1">IF(Report!N28="","",Report!N28)</f>
        <v/>
      </c>
      <c r="P65" s="29">
        <f t="shared" ca="1" si="1"/>
        <v>0</v>
      </c>
    </row>
    <row r="66" spans="2:16" x14ac:dyDescent="0.25">
      <c r="B66" s="10">
        <v>60</v>
      </c>
      <c r="C66" s="14" t="str">
        <f ca="1">IF(Report!J29="","",IF(OR(Report!J29&lt;LSL,Report!J29&gt;USL),"FAIL","PASS"))</f>
        <v/>
      </c>
      <c r="D66" s="14" t="str">
        <f ca="1">IF(Report!K29="","",IF(OR(Report!K29&lt;LSL,Report!K29&gt;USL),"FAIL","PASS"))</f>
        <v/>
      </c>
      <c r="E66" s="14" t="str">
        <f ca="1">IF(Report!L29="","",IF(OR(Report!L29&lt;LSL,Report!L29&gt;USL),"FAIL","PASS"))</f>
        <v/>
      </c>
      <c r="F66" s="14" t="str">
        <f ca="1">IF(Report!M29="","",IF(OR(Report!M29&lt;LSL,Report!M29&gt;USL),"FAIL","PASS"))</f>
        <v/>
      </c>
      <c r="G66" s="14" t="str">
        <f ca="1">IF(Report!N29="","",IF(OR(Report!N29&lt;LSL,Report!N29&gt;USL),"FAIL","PASS"))</f>
        <v/>
      </c>
      <c r="H66" s="29" t="str">
        <f t="shared" ca="1" si="0"/>
        <v/>
      </c>
      <c r="J66" s="10">
        <v>60</v>
      </c>
      <c r="K66" s="14" t="str">
        <f ca="1">IF(Report!J29="","",Report!J29)</f>
        <v/>
      </c>
      <c r="L66" s="14" t="str">
        <f ca="1">IF(Report!K29="","",Report!K29)</f>
        <v/>
      </c>
      <c r="M66" s="14" t="str">
        <f ca="1">IF(Report!L29="","",Report!L29)</f>
        <v/>
      </c>
      <c r="N66" s="14" t="str">
        <f ca="1">IF(Report!M29="","",Report!M29)</f>
        <v/>
      </c>
      <c r="O66" s="14" t="str">
        <f ca="1">IF(Report!N29="","",Report!N29)</f>
        <v/>
      </c>
      <c r="P66" s="29">
        <f t="shared" ca="1" si="1"/>
        <v>0</v>
      </c>
    </row>
    <row r="67" spans="2:16" x14ac:dyDescent="0.25">
      <c r="B67" s="7">
        <v>61</v>
      </c>
      <c r="C67" s="14" t="str">
        <f ca="1">IF(Report!J30="","",IF(OR(Report!J30&lt;LSL,Report!J30&gt;USL),"FAIL","PASS"))</f>
        <v/>
      </c>
      <c r="D67" s="14" t="str">
        <f ca="1">IF(Report!K30="","",IF(OR(Report!K30&lt;LSL,Report!K30&gt;USL),"FAIL","PASS"))</f>
        <v/>
      </c>
      <c r="E67" s="14" t="str">
        <f ca="1">IF(Report!L30="","",IF(OR(Report!L30&lt;LSL,Report!L30&gt;USL),"FAIL","PASS"))</f>
        <v/>
      </c>
      <c r="F67" s="14" t="str">
        <f ca="1">IF(Report!M30="","",IF(OR(Report!M30&lt;LSL,Report!M30&gt;USL),"FAIL","PASS"))</f>
        <v/>
      </c>
      <c r="G67" s="14" t="str">
        <f ca="1">IF(Report!N30="","",IF(OR(Report!N30&lt;LSL,Report!N30&gt;USL),"FAIL","PASS"))</f>
        <v/>
      </c>
      <c r="H67" s="29" t="str">
        <f t="shared" ca="1" si="0"/>
        <v/>
      </c>
      <c r="J67" s="7">
        <v>61</v>
      </c>
      <c r="K67" s="14" t="str">
        <f ca="1">IF(Report!J30="","",Report!J30)</f>
        <v/>
      </c>
      <c r="L67" s="14" t="str">
        <f ca="1">IF(Report!K30="","",Report!K30)</f>
        <v/>
      </c>
      <c r="M67" s="14" t="str">
        <f ca="1">IF(Report!L30="","",Report!L30)</f>
        <v/>
      </c>
      <c r="N67" s="14" t="str">
        <f ca="1">IF(Report!M30="","",Report!M30)</f>
        <v/>
      </c>
      <c r="O67" s="14" t="str">
        <f ca="1">IF(Report!N30="","",Report!N30)</f>
        <v/>
      </c>
      <c r="P67" s="29">
        <f t="shared" ca="1" si="1"/>
        <v>0</v>
      </c>
    </row>
    <row r="68" spans="2:16" x14ac:dyDescent="0.25">
      <c r="B68" s="10">
        <v>62</v>
      </c>
      <c r="C68" s="14" t="str">
        <f ca="1">IF(Report!J31="","",IF(OR(Report!J31&lt;LSL,Report!J31&gt;USL),"FAIL","PASS"))</f>
        <v/>
      </c>
      <c r="D68" s="14" t="str">
        <f ca="1">IF(Report!K31="","",IF(OR(Report!K31&lt;LSL,Report!K31&gt;USL),"FAIL","PASS"))</f>
        <v/>
      </c>
      <c r="E68" s="14" t="str">
        <f ca="1">IF(Report!L31="","",IF(OR(Report!L31&lt;LSL,Report!L31&gt;USL),"FAIL","PASS"))</f>
        <v/>
      </c>
      <c r="F68" s="14" t="str">
        <f ca="1">IF(Report!M31="","",IF(OR(Report!M31&lt;LSL,Report!M31&gt;USL),"FAIL","PASS"))</f>
        <v/>
      </c>
      <c r="G68" s="14" t="str">
        <f ca="1">IF(Report!N31="","",IF(OR(Report!N31&lt;LSL,Report!N31&gt;USL),"FAIL","PASS"))</f>
        <v/>
      </c>
      <c r="H68" s="29" t="str">
        <f t="shared" ca="1" si="0"/>
        <v/>
      </c>
      <c r="J68" s="10">
        <v>62</v>
      </c>
      <c r="K68" s="14" t="str">
        <f ca="1">IF(Report!J31="","",Report!J31)</f>
        <v/>
      </c>
      <c r="L68" s="14" t="str">
        <f ca="1">IF(Report!K31="","",Report!K31)</f>
        <v/>
      </c>
      <c r="M68" s="14" t="str">
        <f ca="1">IF(Report!L31="","",Report!L31)</f>
        <v/>
      </c>
      <c r="N68" s="14" t="str">
        <f ca="1">IF(Report!M31="","",Report!M31)</f>
        <v/>
      </c>
      <c r="O68" s="14" t="str">
        <f ca="1">IF(Report!N31="","",Report!N31)</f>
        <v/>
      </c>
      <c r="P68" s="29">
        <f t="shared" ca="1" si="1"/>
        <v>0</v>
      </c>
    </row>
    <row r="69" spans="2:16" x14ac:dyDescent="0.25">
      <c r="B69" s="7">
        <v>63</v>
      </c>
      <c r="C69" s="14" t="str">
        <f ca="1">IF(Report!J32="","",IF(OR(Report!J32&lt;LSL,Report!J32&gt;USL),"FAIL","PASS"))</f>
        <v/>
      </c>
      <c r="D69" s="14" t="str">
        <f ca="1">IF(Report!K32="","",IF(OR(Report!K32&lt;LSL,Report!K32&gt;USL),"FAIL","PASS"))</f>
        <v/>
      </c>
      <c r="E69" s="14" t="str">
        <f ca="1">IF(Report!L32="","",IF(OR(Report!L32&lt;LSL,Report!L32&gt;USL),"FAIL","PASS"))</f>
        <v/>
      </c>
      <c r="F69" s="14" t="str">
        <f ca="1">IF(Report!M32="","",IF(OR(Report!M32&lt;LSL,Report!M32&gt;USL),"FAIL","PASS"))</f>
        <v/>
      </c>
      <c r="G69" s="14" t="str">
        <f ca="1">IF(Report!N32="","",IF(OR(Report!N32&lt;LSL,Report!N32&gt;USL),"FAIL","PASS"))</f>
        <v/>
      </c>
      <c r="H69" s="29" t="str">
        <f t="shared" ca="1" si="0"/>
        <v/>
      </c>
      <c r="J69" s="7">
        <v>63</v>
      </c>
      <c r="K69" s="14" t="str">
        <f ca="1">IF(Report!J32="","",Report!J32)</f>
        <v/>
      </c>
      <c r="L69" s="14" t="str">
        <f ca="1">IF(Report!K32="","",Report!K32)</f>
        <v/>
      </c>
      <c r="M69" s="14" t="str">
        <f ca="1">IF(Report!L32="","",Report!L32)</f>
        <v/>
      </c>
      <c r="N69" s="14" t="str">
        <f ca="1">IF(Report!M32="","",Report!M32)</f>
        <v/>
      </c>
      <c r="O69" s="14" t="str">
        <f ca="1">IF(Report!N32="","",Report!N32)</f>
        <v/>
      </c>
      <c r="P69" s="29">
        <f t="shared" ca="1" si="1"/>
        <v>0</v>
      </c>
    </row>
    <row r="70" spans="2:16" x14ac:dyDescent="0.25">
      <c r="B70" s="10">
        <v>64</v>
      </c>
      <c r="C70" s="14" t="str">
        <f ca="1">IF(Report!J33="","",IF(OR(Report!J33&lt;LSL,Report!J33&gt;USL),"FAIL","PASS"))</f>
        <v/>
      </c>
      <c r="D70" s="14" t="str">
        <f ca="1">IF(Report!K33="","",IF(OR(Report!K33&lt;LSL,Report!K33&gt;USL),"FAIL","PASS"))</f>
        <v/>
      </c>
      <c r="E70" s="14" t="str">
        <f ca="1">IF(Report!L33="","",IF(OR(Report!L33&lt;LSL,Report!L33&gt;USL),"FAIL","PASS"))</f>
        <v/>
      </c>
      <c r="F70" s="14" t="str">
        <f ca="1">IF(Report!M33="","",IF(OR(Report!M33&lt;LSL,Report!M33&gt;USL),"FAIL","PASS"))</f>
        <v/>
      </c>
      <c r="G70" s="14" t="str">
        <f ca="1">IF(Report!N33="","",IF(OR(Report!N33&lt;LSL,Report!N33&gt;USL),"FAIL","PASS"))</f>
        <v/>
      </c>
      <c r="H70" s="29" t="str">
        <f t="shared" ca="1" si="0"/>
        <v/>
      </c>
      <c r="J70" s="10">
        <v>64</v>
      </c>
      <c r="K70" s="14" t="str">
        <f ca="1">IF(Report!J33="","",Report!J33)</f>
        <v/>
      </c>
      <c r="L70" s="14" t="str">
        <f ca="1">IF(Report!K33="","",Report!K33)</f>
        <v/>
      </c>
      <c r="M70" s="14" t="str">
        <f ca="1">IF(Report!L33="","",Report!L33)</f>
        <v/>
      </c>
      <c r="N70" s="14" t="str">
        <f ca="1">IF(Report!M33="","",Report!M33)</f>
        <v/>
      </c>
      <c r="O70" s="14" t="str">
        <f ca="1">IF(Report!N33="","",Report!N33)</f>
        <v/>
      </c>
      <c r="P70" s="29">
        <f t="shared" ca="1" si="1"/>
        <v>0</v>
      </c>
    </row>
    <row r="71" spans="2:16" x14ac:dyDescent="0.25">
      <c r="B71" s="7">
        <v>65</v>
      </c>
      <c r="C71" s="14" t="str">
        <f ca="1">IF(Report!J34="","",IF(OR(Report!J34&lt;LSL,Report!J34&gt;USL),"FAIL","PASS"))</f>
        <v/>
      </c>
      <c r="D71" s="14" t="str">
        <f ca="1">IF(Report!K34="","",IF(OR(Report!K34&lt;LSL,Report!K34&gt;USL),"FAIL","PASS"))</f>
        <v/>
      </c>
      <c r="E71" s="14" t="str">
        <f ca="1">IF(Report!L34="","",IF(OR(Report!L34&lt;LSL,Report!L34&gt;USL),"FAIL","PASS"))</f>
        <v/>
      </c>
      <c r="F71" s="14" t="str">
        <f ca="1">IF(Report!M34="","",IF(OR(Report!M34&lt;LSL,Report!M34&gt;USL),"FAIL","PASS"))</f>
        <v/>
      </c>
      <c r="G71" s="14" t="str">
        <f ca="1">IF(Report!N34="","",IF(OR(Report!N34&lt;LSL,Report!N34&gt;USL),"FAIL","PASS"))</f>
        <v/>
      </c>
      <c r="H71" s="29" t="str">
        <f t="shared" ca="1" si="0"/>
        <v/>
      </c>
      <c r="J71" s="7">
        <v>65</v>
      </c>
      <c r="K71" s="14" t="str">
        <f ca="1">IF(Report!J34="","",Report!J34)</f>
        <v/>
      </c>
      <c r="L71" s="14" t="str">
        <f ca="1">IF(Report!K34="","",Report!K34)</f>
        <v/>
      </c>
      <c r="M71" s="14" t="str">
        <f ca="1">IF(Report!L34="","",Report!L34)</f>
        <v/>
      </c>
      <c r="N71" s="14" t="str">
        <f ca="1">IF(Report!M34="","",Report!M34)</f>
        <v/>
      </c>
      <c r="O71" s="14" t="str">
        <f ca="1">IF(Report!N34="","",Report!N34)</f>
        <v/>
      </c>
      <c r="P71" s="29">
        <f t="shared" ca="1" si="1"/>
        <v>0</v>
      </c>
    </row>
    <row r="72" spans="2:16" x14ac:dyDescent="0.25">
      <c r="B72" s="10">
        <v>66</v>
      </c>
      <c r="C72" s="14" t="str">
        <f ca="1">IF(Report!J35="","",IF(OR(Report!J35&lt;LSL,Report!J35&gt;USL),"FAIL","PASS"))</f>
        <v/>
      </c>
      <c r="D72" s="14" t="str">
        <f ca="1">IF(Report!K35="","",IF(OR(Report!K35&lt;LSL,Report!K35&gt;USL),"FAIL","PASS"))</f>
        <v/>
      </c>
      <c r="E72" s="14" t="str">
        <f ca="1">IF(Report!L35="","",IF(OR(Report!L35&lt;LSL,Report!L35&gt;USL),"FAIL","PASS"))</f>
        <v/>
      </c>
      <c r="F72" s="14" t="str">
        <f ca="1">IF(Report!M35="","",IF(OR(Report!M35&lt;LSL,Report!M35&gt;USL),"FAIL","PASS"))</f>
        <v/>
      </c>
      <c r="G72" s="14" t="str">
        <f ca="1">IF(Report!N35="","",IF(OR(Report!N35&lt;LSL,Report!N35&gt;USL),"FAIL","PASS"))</f>
        <v/>
      </c>
      <c r="H72" s="29" t="str">
        <f t="shared" ref="H72:H81" ca="1" si="2">IF(C72="","",COUNTIF(C72:G72,"PASS"))</f>
        <v/>
      </c>
      <c r="J72" s="10">
        <v>66</v>
      </c>
      <c r="K72" s="14" t="str">
        <f ca="1">IF(Report!J35="","",Report!J35)</f>
        <v/>
      </c>
      <c r="L72" s="14" t="str">
        <f ca="1">IF(Report!K35="","",Report!K35)</f>
        <v/>
      </c>
      <c r="M72" s="14" t="str">
        <f ca="1">IF(Report!L35="","",Report!L35)</f>
        <v/>
      </c>
      <c r="N72" s="14" t="str">
        <f ca="1">IF(Report!M35="","",Report!M35)</f>
        <v/>
      </c>
      <c r="O72" s="14" t="str">
        <f ca="1">IF(Report!N35="","",Report!N35)</f>
        <v/>
      </c>
      <c r="P72" s="29">
        <f t="shared" ref="P72:P81" ca="1" si="3">COUNTIF(K72:O72,"FAIL")</f>
        <v>0</v>
      </c>
    </row>
    <row r="73" spans="2:16" x14ac:dyDescent="0.25">
      <c r="B73" s="7">
        <v>67</v>
      </c>
      <c r="C73" s="14" t="str">
        <f ca="1">IF(Report!J36="","",IF(OR(Report!J36&lt;LSL,Report!J36&gt;USL),"FAIL","PASS"))</f>
        <v/>
      </c>
      <c r="D73" s="14" t="str">
        <f ca="1">IF(Report!K36="","",IF(OR(Report!K36&lt;LSL,Report!K36&gt;USL),"FAIL","PASS"))</f>
        <v/>
      </c>
      <c r="E73" s="14" t="str">
        <f ca="1">IF(Report!L36="","",IF(OR(Report!L36&lt;LSL,Report!L36&gt;USL),"FAIL","PASS"))</f>
        <v/>
      </c>
      <c r="F73" s="14" t="str">
        <f ca="1">IF(Report!M36="","",IF(OR(Report!M36&lt;LSL,Report!M36&gt;USL),"FAIL","PASS"))</f>
        <v/>
      </c>
      <c r="G73" s="14" t="str">
        <f ca="1">IF(Report!N36="","",IF(OR(Report!N36&lt;LSL,Report!N36&gt;USL),"FAIL","PASS"))</f>
        <v/>
      </c>
      <c r="H73" s="29" t="str">
        <f t="shared" ca="1" si="2"/>
        <v/>
      </c>
      <c r="J73" s="7">
        <v>67</v>
      </c>
      <c r="K73" s="14" t="str">
        <f ca="1">IF(Report!J36="","",Report!J36)</f>
        <v/>
      </c>
      <c r="L73" s="14" t="str">
        <f ca="1">IF(Report!K36="","",Report!K36)</f>
        <v/>
      </c>
      <c r="M73" s="14" t="str">
        <f ca="1">IF(Report!L36="","",Report!L36)</f>
        <v/>
      </c>
      <c r="N73" s="14" t="str">
        <f ca="1">IF(Report!M36="","",Report!M36)</f>
        <v/>
      </c>
      <c r="O73" s="14" t="str">
        <f ca="1">IF(Report!N36="","",Report!N36)</f>
        <v/>
      </c>
      <c r="P73" s="29">
        <f t="shared" ca="1" si="3"/>
        <v>0</v>
      </c>
    </row>
    <row r="74" spans="2:16" x14ac:dyDescent="0.25">
      <c r="B74" s="10">
        <v>68</v>
      </c>
      <c r="C74" s="14" t="str">
        <f ca="1">IF(Report!J37="","",IF(OR(Report!J37&lt;LSL,Report!J37&gt;USL),"FAIL","PASS"))</f>
        <v/>
      </c>
      <c r="D74" s="14" t="str">
        <f ca="1">IF(Report!K37="","",IF(OR(Report!K37&lt;LSL,Report!K37&gt;USL),"FAIL","PASS"))</f>
        <v/>
      </c>
      <c r="E74" s="14" t="str">
        <f ca="1">IF(Report!L37="","",IF(OR(Report!L37&lt;LSL,Report!L37&gt;USL),"FAIL","PASS"))</f>
        <v/>
      </c>
      <c r="F74" s="14" t="str">
        <f ca="1">IF(Report!M37="","",IF(OR(Report!M37&lt;LSL,Report!M37&gt;USL),"FAIL","PASS"))</f>
        <v/>
      </c>
      <c r="G74" s="14" t="str">
        <f ca="1">IF(Report!N37="","",IF(OR(Report!N37&lt;LSL,Report!N37&gt;USL),"FAIL","PASS"))</f>
        <v/>
      </c>
      <c r="H74" s="29" t="str">
        <f t="shared" ca="1" si="2"/>
        <v/>
      </c>
      <c r="J74" s="10">
        <v>68</v>
      </c>
      <c r="K74" s="14" t="str">
        <f ca="1">IF(Report!J37="","",Report!J37)</f>
        <v/>
      </c>
      <c r="L74" s="14" t="str">
        <f ca="1">IF(Report!K37="","",Report!K37)</f>
        <v/>
      </c>
      <c r="M74" s="14" t="str">
        <f ca="1">IF(Report!L37="","",Report!L37)</f>
        <v/>
      </c>
      <c r="N74" s="14" t="str">
        <f ca="1">IF(Report!M37="","",Report!M37)</f>
        <v/>
      </c>
      <c r="O74" s="14" t="str">
        <f ca="1">IF(Report!N37="","",Report!N37)</f>
        <v/>
      </c>
      <c r="P74" s="29">
        <f t="shared" ca="1" si="3"/>
        <v>0</v>
      </c>
    </row>
    <row r="75" spans="2:16" x14ac:dyDescent="0.25">
      <c r="B75" s="7">
        <v>69</v>
      </c>
      <c r="C75" s="14" t="str">
        <f ca="1">IF(Report!J38="","",IF(OR(Report!J38&lt;LSL,Report!J38&gt;USL),"FAIL","PASS"))</f>
        <v/>
      </c>
      <c r="D75" s="14" t="str">
        <f ca="1">IF(Report!K38="","",IF(OR(Report!K38&lt;LSL,Report!K38&gt;USL),"FAIL","PASS"))</f>
        <v/>
      </c>
      <c r="E75" s="14" t="str">
        <f ca="1">IF(Report!L38="","",IF(OR(Report!L38&lt;LSL,Report!L38&gt;USL),"FAIL","PASS"))</f>
        <v/>
      </c>
      <c r="F75" s="14" t="str">
        <f ca="1">IF(Report!M38="","",IF(OR(Report!M38&lt;LSL,Report!M38&gt;USL),"FAIL","PASS"))</f>
        <v/>
      </c>
      <c r="G75" s="14" t="str">
        <f ca="1">IF(Report!N38="","",IF(OR(Report!N38&lt;LSL,Report!N38&gt;USL),"FAIL","PASS"))</f>
        <v/>
      </c>
      <c r="H75" s="29" t="str">
        <f t="shared" ca="1" si="2"/>
        <v/>
      </c>
      <c r="J75" s="7">
        <v>69</v>
      </c>
      <c r="K75" s="14" t="str">
        <f ca="1">IF(Report!J38="","",Report!J38)</f>
        <v/>
      </c>
      <c r="L75" s="14" t="str">
        <f ca="1">IF(Report!K38="","",Report!K38)</f>
        <v/>
      </c>
      <c r="M75" s="14" t="str">
        <f ca="1">IF(Report!L38="","",Report!L38)</f>
        <v/>
      </c>
      <c r="N75" s="14" t="str">
        <f ca="1">IF(Report!M38="","",Report!M38)</f>
        <v/>
      </c>
      <c r="O75" s="14" t="str">
        <f ca="1">IF(Report!N38="","",Report!N38)</f>
        <v/>
      </c>
      <c r="P75" s="29">
        <f t="shared" ca="1" si="3"/>
        <v>0</v>
      </c>
    </row>
    <row r="76" spans="2:16" x14ac:dyDescent="0.25">
      <c r="B76" s="10">
        <v>70</v>
      </c>
      <c r="C76" s="14" t="str">
        <f ca="1">IF(Report!J39="","",IF(OR(Report!J39&lt;LSL,Report!J39&gt;USL),"FAIL","PASS"))</f>
        <v/>
      </c>
      <c r="D76" s="14" t="str">
        <f ca="1">IF(Report!K39="","",IF(OR(Report!K39&lt;LSL,Report!K39&gt;USL),"FAIL","PASS"))</f>
        <v/>
      </c>
      <c r="E76" s="14" t="str">
        <f ca="1">IF(Report!L39="","",IF(OR(Report!L39&lt;LSL,Report!L39&gt;USL),"FAIL","PASS"))</f>
        <v/>
      </c>
      <c r="F76" s="14" t="str">
        <f ca="1">IF(Report!M39="","",IF(OR(Report!M39&lt;LSL,Report!M39&gt;USL),"FAIL","PASS"))</f>
        <v/>
      </c>
      <c r="G76" s="14" t="str">
        <f ca="1">IF(Report!N39="","",IF(OR(Report!N39&lt;LSL,Report!N39&gt;USL),"FAIL","PASS"))</f>
        <v/>
      </c>
      <c r="H76" s="29" t="str">
        <f t="shared" ca="1" si="2"/>
        <v/>
      </c>
      <c r="J76" s="10">
        <v>70</v>
      </c>
      <c r="K76" s="14" t="str">
        <f ca="1">IF(Report!J39="","",Report!J39)</f>
        <v/>
      </c>
      <c r="L76" s="14" t="str">
        <f ca="1">IF(Report!K39="","",Report!K39)</f>
        <v/>
      </c>
      <c r="M76" s="14" t="str">
        <f ca="1">IF(Report!L39="","",Report!L39)</f>
        <v/>
      </c>
      <c r="N76" s="14" t="str">
        <f ca="1">IF(Report!M39="","",Report!M39)</f>
        <v/>
      </c>
      <c r="O76" s="14" t="str">
        <f ca="1">IF(Report!N39="","",Report!N39)</f>
        <v/>
      </c>
      <c r="P76" s="29">
        <f t="shared" ca="1" si="3"/>
        <v>0</v>
      </c>
    </row>
    <row r="77" spans="2:16" x14ac:dyDescent="0.25">
      <c r="B77" s="7">
        <v>71</v>
      </c>
      <c r="C77" s="14" t="str">
        <f ca="1">IF(Report!J40="","",IF(OR(Report!J40&lt;LSL,Report!J40&gt;USL),"FAIL","PASS"))</f>
        <v/>
      </c>
      <c r="D77" s="14" t="str">
        <f ca="1">IF(Report!K40="","",IF(OR(Report!K40&lt;LSL,Report!K40&gt;USL),"FAIL","PASS"))</f>
        <v/>
      </c>
      <c r="E77" s="14" t="str">
        <f ca="1">IF(Report!L40="","",IF(OR(Report!L40&lt;LSL,Report!L40&gt;USL),"FAIL","PASS"))</f>
        <v/>
      </c>
      <c r="F77" s="14" t="str">
        <f ca="1">IF(Report!M40="","",IF(OR(Report!M40&lt;LSL,Report!M40&gt;USL),"FAIL","PASS"))</f>
        <v/>
      </c>
      <c r="G77" s="14" t="str">
        <f ca="1">IF(Report!N40="","",IF(OR(Report!N40&lt;LSL,Report!N40&gt;USL),"FAIL","PASS"))</f>
        <v/>
      </c>
      <c r="H77" s="29" t="str">
        <f t="shared" ca="1" si="2"/>
        <v/>
      </c>
      <c r="J77" s="7">
        <v>71</v>
      </c>
      <c r="K77" s="14" t="str">
        <f ca="1">IF(Report!J40="","",Report!J40)</f>
        <v/>
      </c>
      <c r="L77" s="14" t="str">
        <f ca="1">IF(Report!K40="","",Report!K40)</f>
        <v/>
      </c>
      <c r="M77" s="14" t="str">
        <f ca="1">IF(Report!L40="","",Report!L40)</f>
        <v/>
      </c>
      <c r="N77" s="14" t="str">
        <f ca="1">IF(Report!M40="","",Report!M40)</f>
        <v/>
      </c>
      <c r="O77" s="14" t="str">
        <f ca="1">IF(Report!N40="","",Report!N40)</f>
        <v/>
      </c>
      <c r="P77" s="29">
        <f t="shared" ca="1" si="3"/>
        <v>0</v>
      </c>
    </row>
    <row r="78" spans="2:16" x14ac:dyDescent="0.25">
      <c r="B78" s="10">
        <v>72</v>
      </c>
      <c r="C78" s="14" t="str">
        <f ca="1">IF(Report!J41="","",IF(OR(Report!J41&lt;LSL,Report!J41&gt;USL),"FAIL","PASS"))</f>
        <v/>
      </c>
      <c r="D78" s="14" t="str">
        <f ca="1">IF(Report!K41="","",IF(OR(Report!K41&lt;LSL,Report!K41&gt;USL),"FAIL","PASS"))</f>
        <v/>
      </c>
      <c r="E78" s="14" t="str">
        <f ca="1">IF(Report!L41="","",IF(OR(Report!L41&lt;LSL,Report!L41&gt;USL),"FAIL","PASS"))</f>
        <v/>
      </c>
      <c r="F78" s="14" t="str">
        <f ca="1">IF(Report!M41="","",IF(OR(Report!M41&lt;LSL,Report!M41&gt;USL),"FAIL","PASS"))</f>
        <v/>
      </c>
      <c r="G78" s="14" t="str">
        <f ca="1">IF(Report!N41="","",IF(OR(Report!N41&lt;LSL,Report!N41&gt;USL),"FAIL","PASS"))</f>
        <v/>
      </c>
      <c r="H78" s="29" t="str">
        <f t="shared" ca="1" si="2"/>
        <v/>
      </c>
      <c r="J78" s="10">
        <v>72</v>
      </c>
      <c r="K78" s="14" t="str">
        <f ca="1">IF(Report!J41="","",Report!J41)</f>
        <v/>
      </c>
      <c r="L78" s="14" t="str">
        <f ca="1">IF(Report!K41="","",Report!K41)</f>
        <v/>
      </c>
      <c r="M78" s="14" t="str">
        <f ca="1">IF(Report!L41="","",Report!L41)</f>
        <v/>
      </c>
      <c r="N78" s="14" t="str">
        <f ca="1">IF(Report!M41="","",Report!M41)</f>
        <v/>
      </c>
      <c r="O78" s="14" t="str">
        <f ca="1">IF(Report!N41="","",Report!N41)</f>
        <v/>
      </c>
      <c r="P78" s="29">
        <f t="shared" ca="1" si="3"/>
        <v>0</v>
      </c>
    </row>
    <row r="79" spans="2:16" x14ac:dyDescent="0.25">
      <c r="B79" s="7">
        <v>73</v>
      </c>
      <c r="C79" s="14" t="str">
        <f ca="1">IF(Report!J42="","",IF(OR(Report!J42&lt;LSL,Report!J42&gt;USL),"FAIL","PASS"))</f>
        <v/>
      </c>
      <c r="D79" s="14" t="str">
        <f ca="1">IF(Report!K42="","",IF(OR(Report!K42&lt;LSL,Report!K42&gt;USL),"FAIL","PASS"))</f>
        <v/>
      </c>
      <c r="E79" s="14" t="str">
        <f ca="1">IF(Report!L42="","",IF(OR(Report!L42&lt;LSL,Report!L42&gt;USL),"FAIL","PASS"))</f>
        <v/>
      </c>
      <c r="F79" s="14" t="str">
        <f ca="1">IF(Report!M42="","",IF(OR(Report!M42&lt;LSL,Report!M42&gt;USL),"FAIL","PASS"))</f>
        <v/>
      </c>
      <c r="G79" s="14" t="str">
        <f ca="1">IF(Report!N42="","",IF(OR(Report!N42&lt;LSL,Report!N42&gt;USL),"FAIL","PASS"))</f>
        <v/>
      </c>
      <c r="H79" s="29" t="str">
        <f t="shared" ca="1" si="2"/>
        <v/>
      </c>
      <c r="J79" s="7">
        <v>73</v>
      </c>
      <c r="K79" s="14" t="str">
        <f ca="1">IF(Report!J42="","",Report!J42)</f>
        <v/>
      </c>
      <c r="L79" s="14" t="str">
        <f ca="1">IF(Report!K42="","",Report!K42)</f>
        <v/>
      </c>
      <c r="M79" s="14" t="str">
        <f ca="1">IF(Report!L42="","",Report!L42)</f>
        <v/>
      </c>
      <c r="N79" s="14" t="str">
        <f ca="1">IF(Report!M42="","",Report!M42)</f>
        <v/>
      </c>
      <c r="O79" s="14" t="str">
        <f ca="1">IF(Report!N42="","",Report!N42)</f>
        <v/>
      </c>
      <c r="P79" s="29">
        <f t="shared" ca="1" si="3"/>
        <v>0</v>
      </c>
    </row>
    <row r="80" spans="2:16" x14ac:dyDescent="0.25">
      <c r="B80" s="10">
        <v>74</v>
      </c>
      <c r="C80" s="14" t="str">
        <f ca="1">IF(Report!J43="","",IF(OR(Report!J43&lt;LSL,Report!J43&gt;USL),"FAIL","PASS"))</f>
        <v/>
      </c>
      <c r="D80" s="14" t="str">
        <f ca="1">IF(Report!K43="","",IF(OR(Report!K43&lt;LSL,Report!K43&gt;USL),"FAIL","PASS"))</f>
        <v/>
      </c>
      <c r="E80" s="14" t="str">
        <f ca="1">IF(Report!L43="","",IF(OR(Report!L43&lt;LSL,Report!L43&gt;USL),"FAIL","PASS"))</f>
        <v/>
      </c>
      <c r="F80" s="14" t="str">
        <f ca="1">IF(Report!M43="","",IF(OR(Report!M43&lt;LSL,Report!M43&gt;USL),"FAIL","PASS"))</f>
        <v/>
      </c>
      <c r="G80" s="14" t="str">
        <f ca="1">IF(Report!N43="","",IF(OR(Report!N43&lt;LSL,Report!N43&gt;USL),"FAIL","PASS"))</f>
        <v/>
      </c>
      <c r="H80" s="29" t="str">
        <f t="shared" ca="1" si="2"/>
        <v/>
      </c>
      <c r="J80" s="10">
        <v>74</v>
      </c>
      <c r="K80" s="14" t="str">
        <f ca="1">IF(Report!J43="","",Report!J43)</f>
        <v/>
      </c>
      <c r="L80" s="14" t="str">
        <f ca="1">IF(Report!K43="","",Report!K43)</f>
        <v/>
      </c>
      <c r="M80" s="14" t="str">
        <f ca="1">IF(Report!L43="","",Report!L43)</f>
        <v/>
      </c>
      <c r="N80" s="14" t="str">
        <f ca="1">IF(Report!M43="","",Report!M43)</f>
        <v/>
      </c>
      <c r="O80" s="14" t="str">
        <f ca="1">IF(Report!N43="","",Report!N43)</f>
        <v/>
      </c>
      <c r="P80" s="29">
        <f t="shared" ca="1" si="3"/>
        <v>0</v>
      </c>
    </row>
    <row r="81" spans="2:16" ht="15.75" thickBot="1" x14ac:dyDescent="0.3">
      <c r="B81" s="7">
        <v>75</v>
      </c>
      <c r="C81" s="14" t="str">
        <f ca="1">IF(Report!J44="","",IF(OR(Report!J44&lt;LSL,Report!J44&gt;USL),"FAIL","PASS"))</f>
        <v/>
      </c>
      <c r="D81" s="14" t="str">
        <f ca="1">IF(Report!K44="","",IF(OR(Report!K44&lt;LSL,Report!K44&gt;USL),"FAIL","PASS"))</f>
        <v/>
      </c>
      <c r="E81" s="14" t="str">
        <f ca="1">IF(Report!L44="","",IF(OR(Report!L44&lt;LSL,Report!L44&gt;USL),"FAIL","PASS"))</f>
        <v/>
      </c>
      <c r="F81" s="14" t="str">
        <f ca="1">IF(Report!M44="","",IF(OR(Report!M44&lt;LSL,Report!M44&gt;USL),"FAIL","PASS"))</f>
        <v/>
      </c>
      <c r="G81" s="14" t="str">
        <f ca="1">IF(Report!N44="","",IF(OR(Report!N44&lt;LSL,Report!N44&gt;USL),"FAIL","PASS"))</f>
        <v/>
      </c>
      <c r="H81" s="29" t="str">
        <f t="shared" ca="1" si="2"/>
        <v/>
      </c>
      <c r="J81" s="7">
        <v>75</v>
      </c>
      <c r="K81" s="14" t="str">
        <f ca="1">IF(Report!J44="","",Report!J44)</f>
        <v/>
      </c>
      <c r="L81" s="14" t="str">
        <f ca="1">IF(Report!K44="","",Report!K44)</f>
        <v/>
      </c>
      <c r="M81" s="14" t="str">
        <f ca="1">IF(Report!L44="","",Report!L44)</f>
        <v/>
      </c>
      <c r="N81" s="14" t="str">
        <f ca="1">IF(Report!M44="","",Report!M44)</f>
        <v/>
      </c>
      <c r="O81" s="14" t="str">
        <f ca="1">IF(Report!N44="","",Report!N44)</f>
        <v/>
      </c>
      <c r="P81" s="29">
        <f t="shared" ca="1" si="3"/>
        <v>0</v>
      </c>
    </row>
    <row r="82" spans="2:16" x14ac:dyDescent="0.25">
      <c r="B82" s="128" t="s">
        <v>11</v>
      </c>
      <c r="C82" s="129"/>
      <c r="D82" s="129"/>
      <c r="E82" s="149"/>
      <c r="F82" s="149"/>
      <c r="G82" s="149"/>
      <c r="H82" s="150"/>
      <c r="J82" s="128" t="s">
        <v>11</v>
      </c>
      <c r="K82" s="129"/>
      <c r="L82" s="129"/>
      <c r="M82" s="149"/>
      <c r="N82" s="149"/>
      <c r="O82" s="149"/>
      <c r="P82" s="150"/>
    </row>
    <row r="83" spans="2:16" ht="15.75" thickBot="1" x14ac:dyDescent="0.3">
      <c r="B83" s="132" t="s">
        <v>12</v>
      </c>
      <c r="C83" s="133"/>
      <c r="D83" s="133"/>
      <c r="E83" s="151"/>
      <c r="F83" s="151"/>
      <c r="G83" s="151"/>
      <c r="H83" s="152"/>
      <c r="J83" s="132" t="s">
        <v>12</v>
      </c>
      <c r="K83" s="133"/>
      <c r="L83" s="133"/>
      <c r="M83" s="151"/>
      <c r="N83" s="151"/>
      <c r="O83" s="151"/>
      <c r="P83" s="152"/>
    </row>
    <row r="85" spans="2:16" x14ac:dyDescent="0.25">
      <c r="C85" s="15">
        <v>15</v>
      </c>
      <c r="D85" s="15">
        <v>15</v>
      </c>
      <c r="E85" s="15">
        <v>40</v>
      </c>
      <c r="F85" s="15">
        <v>40</v>
      </c>
      <c r="G85" s="15">
        <v>40</v>
      </c>
      <c r="H85" s="16"/>
      <c r="K85" s="15">
        <v>15</v>
      </c>
      <c r="L85" s="15">
        <v>15</v>
      </c>
      <c r="M85" s="15">
        <v>40</v>
      </c>
      <c r="N85" s="15">
        <v>40</v>
      </c>
      <c r="O85" s="15">
        <v>40</v>
      </c>
      <c r="P85" s="16"/>
    </row>
  </sheetData>
  <mergeCells count="20">
    <mergeCell ref="B2:E2"/>
    <mergeCell ref="F2:H2"/>
    <mergeCell ref="B3:E3"/>
    <mergeCell ref="F3:H3"/>
    <mergeCell ref="B83:D83"/>
    <mergeCell ref="E83:H83"/>
    <mergeCell ref="B4:E4"/>
    <mergeCell ref="F4:H4"/>
    <mergeCell ref="B82:D82"/>
    <mergeCell ref="E82:H82"/>
    <mergeCell ref="J82:L82"/>
    <mergeCell ref="M82:P82"/>
    <mergeCell ref="J83:L83"/>
    <mergeCell ref="M83:P83"/>
    <mergeCell ref="J2:M2"/>
    <mergeCell ref="N2:P2"/>
    <mergeCell ref="J3:M3"/>
    <mergeCell ref="N3:P3"/>
    <mergeCell ref="J4:M4"/>
    <mergeCell ref="N4:P4"/>
  </mergeCells>
  <conditionalFormatting sqref="C7:G81">
    <cfRule type="containsText" dxfId="43" priority="3" operator="containsText" text="PASS">
      <formula>NOT(ISERROR(SEARCH("PASS",C7)))</formula>
    </cfRule>
    <cfRule type="containsText" dxfId="42" priority="4" operator="containsText" text="FAIL">
      <formula>NOT(ISERROR(SEARCH("FAIL",C7)))</formula>
    </cfRule>
  </conditionalFormatting>
  <conditionalFormatting sqref="K7:O81">
    <cfRule type="containsText" dxfId="41" priority="1" operator="containsText" text="PASS">
      <formula>NOT(ISERROR(SEARCH("PASS",K7)))</formula>
    </cfRule>
    <cfRule type="containsText" dxfId="40" priority="2" operator="containsText" text="FAIL">
      <formula>NOT(ISERROR(SEARCH("FAIL",K7)))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Raw Data</vt:lpstr>
      <vt:lpstr>Transformed Data</vt:lpstr>
      <vt:lpstr>Report</vt:lpstr>
      <vt:lpstr>Setting</vt:lpstr>
      <vt:lpstr>PASSFAIL</vt:lpstr>
      <vt:lpstr>_1.0A</vt:lpstr>
      <vt:lpstr>_1.0B</vt:lpstr>
      <vt:lpstr>_4.5A</vt:lpstr>
      <vt:lpstr>_4.5B</vt:lpstr>
      <vt:lpstr>_4.5C</vt:lpstr>
      <vt:lpstr>DataID</vt:lpstr>
      <vt:lpstr>Date</vt:lpstr>
      <vt:lpstr>File_Name</vt:lpstr>
      <vt:lpstr>Folder</vt:lpstr>
      <vt:lpstr>Folder_Name</vt:lpstr>
      <vt:lpstr>LenID</vt:lpstr>
      <vt:lpstr>LSL</vt:lpstr>
      <vt:lpstr>Report!Print_Area</vt:lpstr>
      <vt:lpstr>Time</vt:lpstr>
      <vt:lpstr>USL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Khoa To</dc:creator>
  <cp:lastModifiedBy>oqpathscope</cp:lastModifiedBy>
  <cp:lastPrinted>2021-08-12T13:25:30Z</cp:lastPrinted>
  <dcterms:created xsi:type="dcterms:W3CDTF">2021-04-27T15:52:07Z</dcterms:created>
  <dcterms:modified xsi:type="dcterms:W3CDTF">2023-03-08T13:26:33Z</dcterms:modified>
</cp:coreProperties>
</file>